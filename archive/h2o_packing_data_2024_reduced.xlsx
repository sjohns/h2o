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2O Ne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<sst xmlns="http://schemas.openxmlformats.org/spreadsheetml/2006/main" count="315" uniqueCount="124">
  <si>
    <t xml:space="preserve">Rank</t>
  </si>
  <si>
    <t xml:space="preserve">ITEM</t>
  </si>
  <si>
    <t xml:space="preserve">STICKS/LIFT</t>
  </si>
  <si>
    <t xml:space="preserve">LIFTS/LOAD</t>
  </si>
  <si>
    <t xml:space="preserve">STICKS/LOAD</t>
  </si>
  <si>
    <t xml:space="preserve">LENGTH</t>
  </si>
  <si>
    <t xml:space="preserve">REQ.</t>
  </si>
  <si>
    <t xml:space="preserve">ROUND UP/DOWN</t>
  </si>
  <si>
    <t xml:space="preserve">% FULL TRUCKLOAD</t>
  </si>
  <si>
    <t xml:space="preserve">SCH 40 PVC NSF (Pools &amp; Irrigation)</t>
  </si>
  <si>
    <t xml:space="preserve">1/2" PVC PIPE  SCH 40</t>
  </si>
  <si>
    <t xml:space="preserve">BELL ENDED</t>
  </si>
  <si>
    <t xml:space="preserve">20'</t>
  </si>
  <si>
    <t xml:space="preserve">3/4" PVC PIPE  SCH 40</t>
  </si>
  <si>
    <t xml:space="preserve">1" PVC PIPE  SCH 40</t>
  </si>
  <si>
    <t xml:space="preserve">1 1/4" PVC PIPE  SCH 40</t>
  </si>
  <si>
    <t xml:space="preserve">1 1/2" PVC PIPE  SCH 40</t>
  </si>
  <si>
    <t xml:space="preserve">2" PVC PIPE  SCH 40</t>
  </si>
  <si>
    <t xml:space="preserve">2 1/2" PVC PIPE  SCH 40</t>
  </si>
  <si>
    <t xml:space="preserve">3" PVC PIPE  SCH 40</t>
  </si>
  <si>
    <t xml:space="preserve">4" PVC PIPE  SCH 40</t>
  </si>
  <si>
    <t xml:space="preserve">6" PVC PIPE  SCH 40</t>
  </si>
  <si>
    <t xml:space="preserve">8" PVC PIPE  SCH 40</t>
  </si>
  <si>
    <t xml:space="preserve">10" PVC PIPE  SCH 40</t>
  </si>
  <si>
    <t xml:space="preserve">12" PVC PIPE  SCH 40</t>
  </si>
  <si>
    <t xml:space="preserve">6 / 8</t>
  </si>
  <si>
    <t xml:space="preserve">6 / 6</t>
  </si>
  <si>
    <t xml:space="preserve">SCH 80 PVC (No NSF) Gray Pipe</t>
  </si>
  <si>
    <t xml:space="preserve">1/2" PVC PIPE  SCH 80</t>
  </si>
  <si>
    <t xml:space="preserve">PLAIN ENDED</t>
  </si>
  <si>
    <t xml:space="preserve">3/4" PVC PIPE  SCH 80</t>
  </si>
  <si>
    <t xml:space="preserve">1" PVC PIPE  SCH 80</t>
  </si>
  <si>
    <t xml:space="preserve">1 1/4" PVC PIPE  SCH 80</t>
  </si>
  <si>
    <t xml:space="preserve">1 1/2" PVC PIPE  SCH 80</t>
  </si>
  <si>
    <t xml:space="preserve">2" PVC PIPE  SCH 80</t>
  </si>
  <si>
    <t xml:space="preserve">2 1/2" PVC PIPE  SCH 80</t>
  </si>
  <si>
    <t xml:space="preserve">3" PVC PIPE  SCH 80</t>
  </si>
  <si>
    <t xml:space="preserve">4" PVC PIPE  SCH 80</t>
  </si>
  <si>
    <t xml:space="preserve">6" PVC PIPE  SCH 80</t>
  </si>
  <si>
    <t xml:space="preserve">8" PVC PIPE  SCH 80</t>
  </si>
  <si>
    <t xml:space="preserve">SDR 26 CL160 (Irrigation) Thin Wall (NSF)</t>
  </si>
  <si>
    <t xml:space="preserve">1/2" SDR13.5 PVC PIPE  IPS </t>
  </si>
  <si>
    <t xml:space="preserve">3/4" SDR26 PVC PIPE  IPS </t>
  </si>
  <si>
    <t xml:space="preserve">1" SDR26 PVC PIPE  IPS </t>
  </si>
  <si>
    <t xml:space="preserve">1 1/4" SDR26 PVC PIPE  IPS </t>
  </si>
  <si>
    <t xml:space="preserve">1 1/2" SDR26 PVC PIPE  IPS </t>
  </si>
  <si>
    <t xml:space="preserve">GASKETED</t>
  </si>
  <si>
    <t xml:space="preserve">2" SDR26 PVC PIPE  IPS </t>
  </si>
  <si>
    <t xml:space="preserve">2 1/2" SDR26 PVC PIPE  IPS </t>
  </si>
  <si>
    <t xml:space="preserve">3" SDR26 PVC PIPE  IPS </t>
  </si>
  <si>
    <t xml:space="preserve">4" SDR26 PVC PIPE  IPS </t>
  </si>
  <si>
    <t xml:space="preserve">6" SDR26 PVC PIPE  IPS </t>
  </si>
  <si>
    <t xml:space="preserve">28 / 35</t>
  </si>
  <si>
    <t xml:space="preserve">4 / 8</t>
  </si>
  <si>
    <t xml:space="preserve">8" SDR26 PVC PIPE  IPS </t>
  </si>
  <si>
    <t xml:space="preserve">25 / 30</t>
  </si>
  <si>
    <t xml:space="preserve">4 / 4</t>
  </si>
  <si>
    <t xml:space="preserve">10" SDR26 PVC PIPE  IPS </t>
  </si>
  <si>
    <t xml:space="preserve">16 / 20</t>
  </si>
  <si>
    <t xml:space="preserve">12" SDR26 PVC PIPE  IPS </t>
  </si>
  <si>
    <t xml:space="preserve">9 / 12 / 12 / 16</t>
  </si>
  <si>
    <t xml:space="preserve">2 / 2 / 2 / 2</t>
  </si>
  <si>
    <t xml:space="preserve">SDR 21 CL200 (Irrigation) Thin Wall (NSF)</t>
  </si>
  <si>
    <t xml:space="preserve">3/4" SDR21 PVC PIPE  IPS </t>
  </si>
  <si>
    <t xml:space="preserve">1" SDR21 PVC PIPE  IPS </t>
  </si>
  <si>
    <t xml:space="preserve">1 1/4" SDR21 PVC PIPE  IPS </t>
  </si>
  <si>
    <t xml:space="preserve">1 1/2" SDR21 PVC PIPE  IPS </t>
  </si>
  <si>
    <t xml:space="preserve">2" SDR21 PVC PIPE  IPS </t>
  </si>
  <si>
    <t xml:space="preserve">2 1/2" SDR21 PVC PIPE  IPS </t>
  </si>
  <si>
    <t xml:space="preserve">3" SDR21 PVC PIPE  IPS </t>
  </si>
  <si>
    <t xml:space="preserve">4" SDR21 PVC PIPE  IPS </t>
  </si>
  <si>
    <t xml:space="preserve">6" SDR21 PVC PIPE  IPS </t>
  </si>
  <si>
    <t xml:space="preserve">8" SDR21 PVC PIPE  IPS </t>
  </si>
  <si>
    <t xml:space="preserve">10" SDR21 PVC PIPE  IPS </t>
  </si>
  <si>
    <t xml:space="preserve">12" SDR21 PVC PIPE  IPS </t>
  </si>
  <si>
    <t xml:space="preserve">C900 Blue Waterline Pipe (NSF)</t>
  </si>
  <si>
    <t xml:space="preserve">4" DR14 PVC PIPE C900</t>
  </si>
  <si>
    <t xml:space="preserve">6" DR14 PVC PIPE C900</t>
  </si>
  <si>
    <t xml:space="preserve">8" DR14 PVC PIPE C900</t>
  </si>
  <si>
    <t xml:space="preserve">10" DR14 PVC PIPE C900</t>
  </si>
  <si>
    <t xml:space="preserve">12" DR14 PVC PIPE C900</t>
  </si>
  <si>
    <t xml:space="preserve"> 4 / 6</t>
  </si>
  <si>
    <t xml:space="preserve">4" DR18 PVC PIPE C900</t>
  </si>
  <si>
    <t xml:space="preserve">6" DR18 PVC PIPE C900</t>
  </si>
  <si>
    <t xml:space="preserve">8" DR18 PVC PIPE C900</t>
  </si>
  <si>
    <t xml:space="preserve">15 / 20</t>
  </si>
  <si>
    <t xml:space="preserve">8 / 4</t>
  </si>
  <si>
    <t xml:space="preserve">10" DR18 PVC PIPE C900</t>
  </si>
  <si>
    <t xml:space="preserve">12" DR18 PVC PIPE C900</t>
  </si>
  <si>
    <t xml:space="preserve">6 / 8 / 9 / 12</t>
  </si>
  <si>
    <t xml:space="preserve">4 / 4 / 2 / 2</t>
  </si>
  <si>
    <t xml:space="preserve">14" DR18 PVC PIPE C900</t>
  </si>
  <si>
    <t xml:space="preserve">16" DR18 PVC PIPE C900</t>
  </si>
  <si>
    <t xml:space="preserve">4 / 6 / 6 / 9</t>
  </si>
  <si>
    <t xml:space="preserve">18" DR18 PVC PIPE C900</t>
  </si>
  <si>
    <t xml:space="preserve">4 / 6</t>
  </si>
  <si>
    <t xml:space="preserve">20" DR18 PVC PIPE C900</t>
  </si>
  <si>
    <t xml:space="preserve">24" DR18 PVC PIPE C900</t>
  </si>
  <si>
    <t xml:space="preserve">4" DR25 PVC PIPE C900</t>
  </si>
  <si>
    <t xml:space="preserve">6" DR25 PVC PIPE C900</t>
  </si>
  <si>
    <t xml:space="preserve">8" DR25 PVC PIPE C900</t>
  </si>
  <si>
    <t xml:space="preserve">10" DR25 PVC PIPE C900</t>
  </si>
  <si>
    <t xml:space="preserve">12" DR25 PVC PIPE C900</t>
  </si>
  <si>
    <t xml:space="preserve">14" DR25 PVC PIPE C900</t>
  </si>
  <si>
    <t xml:space="preserve">16" DR25 PVC PIPE C900</t>
  </si>
  <si>
    <t xml:space="preserve">18" DR25 PVC PIPE C900</t>
  </si>
  <si>
    <t xml:space="preserve">20" DR25 PVC PIPE C900</t>
  </si>
  <si>
    <t xml:space="preserve">24" DR25 PVC PIPE C900</t>
  </si>
  <si>
    <t xml:space="preserve">Green Sanitary Gravity Sewer Pipe (No NSF)</t>
  </si>
  <si>
    <t xml:space="preserve">4" SDR26 PVC PIPE GRAVITY SEWER</t>
  </si>
  <si>
    <t xml:space="preserve">14'</t>
  </si>
  <si>
    <t xml:space="preserve">6" SDR26 PVC PIPE GRAVITY SEWER</t>
  </si>
  <si>
    <t xml:space="preserve">8" SDR26 PVC PIPE GRAVITY SEWER</t>
  </si>
  <si>
    <t xml:space="preserve">30 / 36</t>
  </si>
  <si>
    <t xml:space="preserve">10" SDR26 PVC PIPE GRAVITY SEWER</t>
  </si>
  <si>
    <t xml:space="preserve">12 / 15</t>
  </si>
  <si>
    <t xml:space="preserve">9 / 9</t>
  </si>
  <si>
    <t xml:space="preserve">12" SDR26 PVC PIPE GRAVITY SEWER</t>
  </si>
  <si>
    <t xml:space="preserve">12 / 16</t>
  </si>
  <si>
    <t xml:space="preserve">4" SDR35 PVC PIPE GRAVITY SEWER</t>
  </si>
  <si>
    <t xml:space="preserve">6" SDR35 PVC PIPE GRAVITY SEWER</t>
  </si>
  <si>
    <t xml:space="preserve">8" SDR35 PVC PIPE GRAVITY SEWER</t>
  </si>
  <si>
    <t xml:space="preserve">10" SDR35 PVC PIPE GRAVITY SEWER</t>
  </si>
  <si>
    <t xml:space="preserve">12" SDR35 PVC PIPE GRAVITY SEWER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</si>
</sst>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_-;\-* #,##0_-;_-* \-??_-;_-@"/>
    <numFmt numFmtId="166" formatCode="_-\$* #,##0.00_-;&quot;-$&quot;* #,##0.00_-;_-\$* \-??_-;_-@"/>
    <numFmt numFmtId="167" formatCode="0%"/>
    <numFmt numFmtId="168" formatCode="\$#,##0.00"/>
    <numFmt numFmtId="169" formatCode="General"/>
    <numFmt numFmtId="170" formatCode="0.0%"/>
  </numFmts>
  <fonts count="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sz val="12"/>
      <color theme="1"/>
      <name val="Calibri"/>
      <family val="0"/>
      <charset val="1"/>
    </font>
    <font>
      <b val="true"/>
      <sz val="14"/>
      <color theme="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8D8D8"/>
        <bgColor rgb="FFC0C0C0"/>
      </patternFill>
    </fill>
    <fill>
      <patternFill patternType="solid">
        <fgColor theme="0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F00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101</xdr:row>
      <xdr:rowOff>0</xdr:rowOff>
    </xdr:from>
    <xdr:to>
      <xdr:col>1</xdr:col>
      <xdr:colOff>685080</xdr:colOff>
      <xdr:row>104</xdr:row>
      <xdr:rowOff>85320</xdr:rowOff>
    </xdr:to>
    <xdr:pic>
      <xdr:nvPicPr>
        <xdr:cNvPr id="0" name="image3.png" descr=""/>
        <xdr:cNvPicPr/>
      </xdr:nvPicPr>
      <xdr:blipFill>
        <a:blip r:embed="rId1"/>
        <a:stretch/>
      </xdr:blipFill>
      <xdr:spPr>
        <a:xfrm>
          <a:off x="685800" y="20002680"/>
          <a:ext cx="68508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685080</xdr:colOff>
      <xdr:row>109</xdr:row>
      <xdr:rowOff>84960</xdr:rowOff>
    </xdr:to>
    <xdr:pic>
      <xdr:nvPicPr>
        <xdr:cNvPr id="1" name="image4.png" descr=""/>
        <xdr:cNvPicPr/>
      </xdr:nvPicPr>
      <xdr:blipFill>
        <a:blip r:embed="rId2"/>
        <a:stretch/>
      </xdr:blipFill>
      <xdr:spPr>
        <a:xfrm>
          <a:off x="685800" y="21002760"/>
          <a:ext cx="68508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685080</xdr:colOff>
      <xdr:row>114</xdr:row>
      <xdr:rowOff>84960</xdr:rowOff>
    </xdr:to>
    <xdr:pic>
      <xdr:nvPicPr>
        <xdr:cNvPr id="2" name="image5.png" descr=""/>
        <xdr:cNvPicPr/>
      </xdr:nvPicPr>
      <xdr:blipFill>
        <a:blip r:embed="rId3"/>
        <a:stretch/>
      </xdr:blipFill>
      <xdr:spPr>
        <a:xfrm>
          <a:off x="685800" y="22002840"/>
          <a:ext cx="68508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685080</xdr:colOff>
      <xdr:row>119</xdr:row>
      <xdr:rowOff>84960</xdr:rowOff>
    </xdr:to>
    <xdr:pic>
      <xdr:nvPicPr>
        <xdr:cNvPr id="3" name="image1.png" descr=""/>
        <xdr:cNvPicPr/>
      </xdr:nvPicPr>
      <xdr:blipFill>
        <a:blip r:embed="rId4"/>
        <a:stretch/>
      </xdr:blipFill>
      <xdr:spPr>
        <a:xfrm>
          <a:off x="685800" y="23002920"/>
          <a:ext cx="68508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685080</xdr:colOff>
      <xdr:row>124</xdr:row>
      <xdr:rowOff>84960</xdr:rowOff>
    </xdr:to>
    <xdr:pic>
      <xdr:nvPicPr>
        <xdr:cNvPr id="4" name="image6.png" descr=""/>
        <xdr:cNvPicPr/>
      </xdr:nvPicPr>
      <xdr:blipFill>
        <a:blip r:embed="rId5"/>
        <a:stretch/>
      </xdr:blipFill>
      <xdr:spPr>
        <a:xfrm>
          <a:off x="685800" y="24003000"/>
          <a:ext cx="685080" cy="685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685080</xdr:colOff>
      <xdr:row>129</xdr:row>
      <xdr:rowOff>84960</xdr:rowOff>
    </xdr:to>
    <xdr:pic>
      <xdr:nvPicPr>
        <xdr:cNvPr id="5" name="image2.png" descr=""/>
        <xdr:cNvPicPr/>
      </xdr:nvPicPr>
      <xdr:blipFill>
        <a:blip r:embed="rId6"/>
        <a:stretch/>
      </xdr:blipFill>
      <xdr:spPr>
        <a:xfrm>
          <a:off x="685800" y="25003080"/>
          <a:ext cx="685080" cy="685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37"/>
    <col collapsed="false" customWidth="true" hidden="false" outlineLevel="0" max="3" min="3" style="1" width="13.57"/>
    <col collapsed="false" customWidth="true" hidden="false" outlineLevel="0" max="4" min="4" style="1" width="16.57"/>
    <col collapsed="false" customWidth="true" hidden="false" outlineLevel="0" max="5" min="5" style="1" width="13"/>
    <col collapsed="false" customWidth="true" hidden="false" outlineLevel="0" max="6" min="6" style="1" width="15.29"/>
    <col collapsed="false" customWidth="true" hidden="false" outlineLevel="0" max="7" min="7" style="1" width="10"/>
    <col collapsed="false" customWidth="true" hidden="false" outlineLevel="0" max="8" min="8" style="1" width="7"/>
    <col collapsed="false" customWidth="true" hidden="false" outlineLevel="0" max="9" min="9" style="1" width="18.86"/>
    <col collapsed="false" customWidth="true" hidden="false" outlineLevel="0" max="10" min="10" style="1" width="20.86"/>
    <col collapsed="false" customWidth="true" hidden="false" outlineLevel="0" max="25" min="11" style="1" width="11.43"/>
    <col collapsed="false" customWidth="true" hidden="false" outlineLevel="0" max="16384" min="16380" style="0" width="10.16"/>
  </cols>
  <sheetData>
    <row r="1" customFormat="false" ht="15" hidden="false" customHeight="false" outlineLevel="0" collapsed="false">
      <c r="A1" s="2" t="s">
        <v>0</v>
      </c>
      <c r="B1" s="3" t="s">
        <v>1</v>
      </c>
      <c r="C1" s="3"/>
      <c r="D1" s="3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customFormat="false" ht="15" hidden="false" customHeight="false" outlineLevel="0" collapsed="false">
      <c r="A2" s="6"/>
      <c r="B2" s="7" t="s">
        <v>9</v>
      </c>
      <c r="C2" s="7"/>
      <c r="D2" s="8"/>
      <c r="E2" s="9"/>
      <c r="F2" s="10"/>
      <c r="G2" s="10"/>
      <c r="H2" s="10"/>
      <c r="I2" s="10"/>
      <c r="J2" s="10"/>
      <c r="K2" s="11" t="n">
        <v>0.4</v>
      </c>
      <c r="L2" s="11" t="n">
        <v>0.35</v>
      </c>
      <c r="M2" s="12" t="n">
        <v>1</v>
      </c>
    </row>
    <row r="3" customFormat="false" ht="15" hidden="false" customHeight="false" outlineLevel="0" collapsed="false">
      <c r="A3" s="13" t="n">
        <v>5</v>
      </c>
      <c r="B3" s="14" t="s">
        <v>10</v>
      </c>
      <c r="C3" s="15" t="s">
        <v>11</v>
      </c>
      <c r="D3" s="16" t="n">
        <v>360</v>
      </c>
      <c r="E3" s="17" t="n">
        <v>36</v>
      </c>
      <c r="F3" s="16" t="n">
        <v>12960</v>
      </c>
      <c r="G3" s="18" t="s">
        <v>12</v>
      </c>
      <c r="H3" s="19"/>
      <c r="I3" s="20" t="n">
        <f aca="false">MROUND(H3,D3)</f>
        <v>0</v>
      </c>
      <c r="J3" s="21" t="n">
        <f aca="false">I3/F3</f>
        <v>0</v>
      </c>
    </row>
    <row r="4" customFormat="false" ht="15" hidden="false" customHeight="false" outlineLevel="0" collapsed="false">
      <c r="A4" s="13" t="n">
        <v>5</v>
      </c>
      <c r="B4" s="22" t="s">
        <v>13</v>
      </c>
      <c r="C4" s="20" t="s">
        <v>11</v>
      </c>
      <c r="D4" s="16" t="n">
        <v>400</v>
      </c>
      <c r="E4" s="17" t="n">
        <v>24</v>
      </c>
      <c r="F4" s="16" t="n">
        <v>9600</v>
      </c>
      <c r="G4" s="18" t="s">
        <v>12</v>
      </c>
      <c r="H4" s="19"/>
      <c r="I4" s="20" t="n">
        <f aca="false">MROUND(H4,D4)</f>
        <v>0</v>
      </c>
      <c r="J4" s="21" t="n">
        <f aca="false">I4/F4</f>
        <v>0</v>
      </c>
    </row>
    <row r="5" customFormat="false" ht="15" hidden="false" customHeight="false" outlineLevel="0" collapsed="false">
      <c r="A5" s="13" t="n">
        <v>5</v>
      </c>
      <c r="B5" s="22" t="s">
        <v>14</v>
      </c>
      <c r="C5" s="20" t="s">
        <v>11</v>
      </c>
      <c r="D5" s="16" t="n">
        <v>280</v>
      </c>
      <c r="E5" s="17" t="n">
        <v>20</v>
      </c>
      <c r="F5" s="16" t="n">
        <v>5600</v>
      </c>
      <c r="G5" s="18" t="s">
        <v>12</v>
      </c>
      <c r="H5" s="19"/>
      <c r="I5" s="20" t="n">
        <f aca="false">MROUND(H5,D5)</f>
        <v>0</v>
      </c>
      <c r="J5" s="21" t="n">
        <f aca="false">I5/F5</f>
        <v>0</v>
      </c>
    </row>
    <row r="6" customFormat="false" ht="15" hidden="false" customHeight="false" outlineLevel="0" collapsed="false">
      <c r="A6" s="13" t="n">
        <v>8</v>
      </c>
      <c r="B6" s="22" t="s">
        <v>15</v>
      </c>
      <c r="C6" s="20" t="s">
        <v>11</v>
      </c>
      <c r="D6" s="16" t="n">
        <v>220</v>
      </c>
      <c r="E6" s="17" t="n">
        <v>24</v>
      </c>
      <c r="F6" s="16" t="n">
        <v>5280</v>
      </c>
      <c r="G6" s="18" t="s">
        <v>12</v>
      </c>
      <c r="H6" s="19"/>
      <c r="I6" s="20" t="n">
        <f aca="false">MROUND(H6,D6)</f>
        <v>0</v>
      </c>
      <c r="J6" s="21" t="n">
        <f aca="false">I6/F6</f>
        <v>0</v>
      </c>
    </row>
    <row r="7" customFormat="false" ht="15" hidden="false" customHeight="false" outlineLevel="0" collapsed="false">
      <c r="A7" s="13" t="n">
        <v>2</v>
      </c>
      <c r="B7" s="22" t="s">
        <v>16</v>
      </c>
      <c r="C7" s="20" t="s">
        <v>11</v>
      </c>
      <c r="D7" s="16" t="n">
        <v>180</v>
      </c>
      <c r="E7" s="17" t="n">
        <v>24</v>
      </c>
      <c r="F7" s="16" t="n">
        <v>4320</v>
      </c>
      <c r="G7" s="18" t="s">
        <v>12</v>
      </c>
      <c r="H7" s="19"/>
      <c r="I7" s="20" t="n">
        <f aca="false">MROUND(H7,D7)</f>
        <v>0</v>
      </c>
      <c r="J7" s="21" t="n">
        <f aca="false">I7/F7</f>
        <v>0</v>
      </c>
    </row>
    <row r="8" customFormat="false" ht="15" hidden="false" customHeight="false" outlineLevel="0" collapsed="false">
      <c r="A8" s="13" t="n">
        <v>1</v>
      </c>
      <c r="B8" s="22" t="s">
        <v>17</v>
      </c>
      <c r="C8" s="20" t="s">
        <v>11</v>
      </c>
      <c r="D8" s="16" t="n">
        <v>105</v>
      </c>
      <c r="E8" s="17" t="n">
        <v>24</v>
      </c>
      <c r="F8" s="16" t="n">
        <v>2520</v>
      </c>
      <c r="G8" s="18" t="s">
        <v>12</v>
      </c>
      <c r="H8" s="19"/>
      <c r="I8" s="20" t="n">
        <f aca="false">MROUND(H8,D8)</f>
        <v>0</v>
      </c>
      <c r="J8" s="21" t="n">
        <f aca="false">I8/F8</f>
        <v>0</v>
      </c>
    </row>
    <row r="9" customFormat="false" ht="15" hidden="false" customHeight="false" outlineLevel="0" collapsed="false">
      <c r="A9" s="13" t="n">
        <v>2</v>
      </c>
      <c r="B9" s="22" t="s">
        <v>18</v>
      </c>
      <c r="C9" s="20" t="s">
        <v>11</v>
      </c>
      <c r="D9" s="16" t="n">
        <v>73</v>
      </c>
      <c r="E9" s="17" t="n">
        <v>24</v>
      </c>
      <c r="F9" s="16" t="n">
        <v>1752</v>
      </c>
      <c r="G9" s="18" t="s">
        <v>12</v>
      </c>
      <c r="H9" s="19"/>
      <c r="I9" s="20" t="n">
        <f aca="false">MROUND(H9,D9)</f>
        <v>0</v>
      </c>
      <c r="J9" s="21" t="n">
        <f aca="false">I9/F9</f>
        <v>0</v>
      </c>
    </row>
    <row r="10" customFormat="false" ht="15" hidden="false" customHeight="false" outlineLevel="0" collapsed="false">
      <c r="A10" s="13" t="n">
        <v>3</v>
      </c>
      <c r="B10" s="22" t="s">
        <v>19</v>
      </c>
      <c r="C10" s="20" t="s">
        <v>11</v>
      </c>
      <c r="D10" s="16" t="n">
        <v>75</v>
      </c>
      <c r="E10" s="17" t="n">
        <v>16</v>
      </c>
      <c r="F10" s="16" t="n">
        <v>1200</v>
      </c>
      <c r="G10" s="18" t="s">
        <v>12</v>
      </c>
      <c r="H10" s="19"/>
      <c r="I10" s="20" t="n">
        <f aca="false">MROUND(H10,D10)</f>
        <v>0</v>
      </c>
      <c r="J10" s="21" t="n">
        <f aca="false">I10/F10</f>
        <v>0</v>
      </c>
    </row>
    <row r="11" customFormat="false" ht="15" hidden="false" customHeight="false" outlineLevel="0" collapsed="false">
      <c r="A11" s="13" t="n">
        <v>4</v>
      </c>
      <c r="B11" s="22" t="s">
        <v>20</v>
      </c>
      <c r="C11" s="20" t="s">
        <v>11</v>
      </c>
      <c r="D11" s="16" t="n">
        <v>57</v>
      </c>
      <c r="E11" s="17" t="n">
        <v>12</v>
      </c>
      <c r="F11" s="16" t="n">
        <v>684</v>
      </c>
      <c r="G11" s="18" t="s">
        <v>12</v>
      </c>
      <c r="H11" s="19"/>
      <c r="I11" s="20" t="n">
        <f aca="false">MROUND(H11,D11)</f>
        <v>0</v>
      </c>
      <c r="J11" s="21" t="n">
        <f aca="false">I11/F11</f>
        <v>0</v>
      </c>
    </row>
    <row r="12" customFormat="false" ht="15" hidden="false" customHeight="false" outlineLevel="0" collapsed="false">
      <c r="A12" s="13" t="n">
        <v>6</v>
      </c>
      <c r="B12" s="22" t="s">
        <v>21</v>
      </c>
      <c r="C12" s="20" t="s">
        <v>11</v>
      </c>
      <c r="D12" s="16" t="n">
        <v>26</v>
      </c>
      <c r="E12" s="17" t="n">
        <v>12</v>
      </c>
      <c r="F12" s="16" t="n">
        <v>312</v>
      </c>
      <c r="G12" s="18" t="s">
        <v>12</v>
      </c>
      <c r="H12" s="19"/>
      <c r="I12" s="20" t="n">
        <f aca="false">MROUND(H12,D12)</f>
        <v>0</v>
      </c>
      <c r="J12" s="21" t="n">
        <f aca="false">I12/F12</f>
        <v>0</v>
      </c>
    </row>
    <row r="13" customFormat="false" ht="15" hidden="false" customHeight="false" outlineLevel="0" collapsed="false">
      <c r="A13" s="13" t="n">
        <v>6</v>
      </c>
      <c r="B13" s="22" t="s">
        <v>22</v>
      </c>
      <c r="C13" s="20" t="s">
        <v>11</v>
      </c>
      <c r="D13" s="16" t="n">
        <v>15</v>
      </c>
      <c r="E13" s="17" t="n">
        <v>12</v>
      </c>
      <c r="F13" s="16" t="n">
        <v>180</v>
      </c>
      <c r="G13" s="18" t="s">
        <v>12</v>
      </c>
      <c r="H13" s="19"/>
      <c r="I13" s="20" t="n">
        <f aca="false">MROUND(H13,D13)</f>
        <v>0</v>
      </c>
      <c r="J13" s="21" t="n">
        <f aca="false">I13/F13</f>
        <v>0</v>
      </c>
    </row>
    <row r="14" customFormat="false" ht="15" hidden="false" customHeight="false" outlineLevel="0" collapsed="false">
      <c r="A14" s="13" t="n">
        <v>6</v>
      </c>
      <c r="B14" s="22" t="s">
        <v>23</v>
      </c>
      <c r="C14" s="20" t="s">
        <v>11</v>
      </c>
      <c r="D14" s="16" t="n">
        <v>12</v>
      </c>
      <c r="E14" s="17" t="n">
        <v>12</v>
      </c>
      <c r="F14" s="16" t="n">
        <v>144</v>
      </c>
      <c r="G14" s="18" t="s">
        <v>12</v>
      </c>
      <c r="H14" s="19"/>
      <c r="I14" s="20" t="n">
        <f aca="false">MROUND(H14,D14)</f>
        <v>0</v>
      </c>
      <c r="J14" s="21" t="n">
        <f aca="false">I14/F14</f>
        <v>0</v>
      </c>
    </row>
    <row r="15" customFormat="false" ht="15" hidden="false" customHeight="false" outlineLevel="0" collapsed="false">
      <c r="A15" s="13" t="n">
        <v>6</v>
      </c>
      <c r="B15" s="22" t="s">
        <v>24</v>
      </c>
      <c r="C15" s="20" t="s">
        <v>11</v>
      </c>
      <c r="D15" s="17" t="s">
        <v>25</v>
      </c>
      <c r="E15" s="17" t="s">
        <v>26</v>
      </c>
      <c r="F15" s="16" t="n">
        <v>84</v>
      </c>
      <c r="G15" s="18" t="s">
        <v>12</v>
      </c>
      <c r="H15" s="19"/>
      <c r="I15" s="20" t="n">
        <f aca="false">MROUND(H15,6)</f>
        <v>0</v>
      </c>
      <c r="J15" s="21" t="n">
        <f aca="false">I15/F15</f>
        <v>0</v>
      </c>
    </row>
    <row r="16" customFormat="false" ht="15" hidden="false" customHeight="false" outlineLevel="0" collapsed="false">
      <c r="A16" s="6"/>
      <c r="B16" s="7" t="s">
        <v>27</v>
      </c>
      <c r="C16" s="7"/>
      <c r="D16" s="23"/>
      <c r="E16" s="24"/>
      <c r="F16" s="23"/>
      <c r="G16" s="25"/>
      <c r="H16" s="19"/>
      <c r="I16" s="26"/>
      <c r="J16" s="27"/>
    </row>
    <row r="17" customFormat="false" ht="15" hidden="false" customHeight="false" outlineLevel="0" collapsed="false">
      <c r="A17" s="28" t="n">
        <v>7</v>
      </c>
      <c r="B17" s="29" t="s">
        <v>28</v>
      </c>
      <c r="C17" s="26" t="s">
        <v>29</v>
      </c>
      <c r="D17" s="23" t="n">
        <v>360</v>
      </c>
      <c r="E17" s="24" t="n">
        <v>36</v>
      </c>
      <c r="F17" s="23" t="n">
        <v>12960</v>
      </c>
      <c r="G17" s="25" t="s">
        <v>12</v>
      </c>
      <c r="H17" s="19"/>
      <c r="I17" s="26" t="n">
        <f aca="false">MROUND(H17,D17)</f>
        <v>0</v>
      </c>
      <c r="J17" s="27" t="n">
        <f aca="false">I17/F17</f>
        <v>0</v>
      </c>
    </row>
    <row r="18" customFormat="false" ht="15" hidden="false" customHeight="false" outlineLevel="0" collapsed="false">
      <c r="A18" s="28" t="n">
        <v>7</v>
      </c>
      <c r="B18" s="30" t="s">
        <v>30</v>
      </c>
      <c r="C18" s="26" t="s">
        <v>29</v>
      </c>
      <c r="D18" s="23" t="n">
        <v>400</v>
      </c>
      <c r="E18" s="24" t="n">
        <v>24</v>
      </c>
      <c r="F18" s="23" t="n">
        <v>9600</v>
      </c>
      <c r="G18" s="25" t="s">
        <v>12</v>
      </c>
      <c r="H18" s="19"/>
      <c r="I18" s="26" t="n">
        <f aca="false">MROUND(H18,D18)</f>
        <v>0</v>
      </c>
      <c r="J18" s="27" t="n">
        <f aca="false">I18/F18</f>
        <v>0</v>
      </c>
    </row>
    <row r="19" customFormat="false" ht="15" hidden="false" customHeight="false" outlineLevel="0" collapsed="false">
      <c r="A19" s="28" t="n">
        <v>7</v>
      </c>
      <c r="B19" s="30" t="s">
        <v>31</v>
      </c>
      <c r="C19" s="26" t="s">
        <v>29</v>
      </c>
      <c r="D19" s="23" t="n">
        <v>280</v>
      </c>
      <c r="E19" s="24" t="n">
        <v>20</v>
      </c>
      <c r="F19" s="23" t="n">
        <v>5600</v>
      </c>
      <c r="G19" s="25" t="s">
        <v>12</v>
      </c>
      <c r="H19" s="19"/>
      <c r="I19" s="26" t="n">
        <f aca="false">MROUND(H19,D19)</f>
        <v>0</v>
      </c>
      <c r="J19" s="27" t="n">
        <f aca="false">I19/F19</f>
        <v>0</v>
      </c>
    </row>
    <row r="20" customFormat="false" ht="15" hidden="false" customHeight="false" outlineLevel="0" collapsed="false">
      <c r="A20" s="28" t="n">
        <v>7</v>
      </c>
      <c r="B20" s="30" t="s">
        <v>32</v>
      </c>
      <c r="C20" s="26" t="s">
        <v>29</v>
      </c>
      <c r="D20" s="23" t="n">
        <v>220</v>
      </c>
      <c r="E20" s="24" t="n">
        <v>24</v>
      </c>
      <c r="F20" s="23" t="n">
        <v>5280</v>
      </c>
      <c r="G20" s="25" t="s">
        <v>12</v>
      </c>
      <c r="H20" s="19"/>
      <c r="I20" s="26" t="n">
        <f aca="false">MROUND(H20,D20)</f>
        <v>0</v>
      </c>
      <c r="J20" s="27" t="n">
        <f aca="false">I20/F20</f>
        <v>0</v>
      </c>
    </row>
    <row r="21" customFormat="false" ht="15" hidden="false" customHeight="false" outlineLevel="0" collapsed="false">
      <c r="A21" s="28" t="n">
        <v>7</v>
      </c>
      <c r="B21" s="30" t="s">
        <v>33</v>
      </c>
      <c r="C21" s="26" t="s">
        <v>29</v>
      </c>
      <c r="D21" s="23" t="n">
        <v>180</v>
      </c>
      <c r="E21" s="24" t="n">
        <v>24</v>
      </c>
      <c r="F21" s="23" t="n">
        <v>4320</v>
      </c>
      <c r="G21" s="25" t="s">
        <v>12</v>
      </c>
      <c r="H21" s="19"/>
      <c r="I21" s="26" t="n">
        <f aca="false">MROUND(H21,D21)</f>
        <v>0</v>
      </c>
      <c r="J21" s="27" t="n">
        <f aca="false">I21/F21</f>
        <v>0</v>
      </c>
    </row>
    <row r="22" customFormat="false" ht="15.75" hidden="false" customHeight="true" outlineLevel="0" collapsed="false">
      <c r="A22" s="28" t="n">
        <v>7</v>
      </c>
      <c r="B22" s="30" t="s">
        <v>34</v>
      </c>
      <c r="C22" s="26" t="s">
        <v>29</v>
      </c>
      <c r="D22" s="23" t="n">
        <v>105</v>
      </c>
      <c r="E22" s="24" t="n">
        <v>24</v>
      </c>
      <c r="F22" s="23" t="n">
        <v>2520</v>
      </c>
      <c r="G22" s="25" t="s">
        <v>12</v>
      </c>
      <c r="H22" s="19"/>
      <c r="I22" s="26" t="n">
        <f aca="false">MROUND(H22,D22)</f>
        <v>0</v>
      </c>
      <c r="J22" s="27" t="n">
        <f aca="false">I22/F22</f>
        <v>0</v>
      </c>
    </row>
    <row r="23" customFormat="false" ht="15.75" hidden="false" customHeight="true" outlineLevel="0" collapsed="false">
      <c r="A23" s="28" t="n">
        <v>7</v>
      </c>
      <c r="B23" s="30" t="s">
        <v>35</v>
      </c>
      <c r="C23" s="26" t="s">
        <v>29</v>
      </c>
      <c r="D23" s="23" t="n">
        <v>73</v>
      </c>
      <c r="E23" s="24" t="n">
        <v>24</v>
      </c>
      <c r="F23" s="23" t="n">
        <v>1752</v>
      </c>
      <c r="G23" s="25" t="s">
        <v>12</v>
      </c>
      <c r="H23" s="19"/>
      <c r="I23" s="26" t="n">
        <f aca="false">MROUND(H23,D23)</f>
        <v>0</v>
      </c>
      <c r="J23" s="27" t="n">
        <f aca="false">I23/F23</f>
        <v>0</v>
      </c>
    </row>
    <row r="24" customFormat="false" ht="15.75" hidden="false" customHeight="true" outlineLevel="0" collapsed="false">
      <c r="A24" s="28" t="n">
        <v>7</v>
      </c>
      <c r="B24" s="30" t="s">
        <v>36</v>
      </c>
      <c r="C24" s="26" t="s">
        <v>29</v>
      </c>
      <c r="D24" s="23" t="n">
        <v>75</v>
      </c>
      <c r="E24" s="24" t="n">
        <v>16</v>
      </c>
      <c r="F24" s="23" t="n">
        <v>1200</v>
      </c>
      <c r="G24" s="25" t="s">
        <v>12</v>
      </c>
      <c r="H24" s="19"/>
      <c r="I24" s="26" t="n">
        <f aca="false">MROUND(H24,D24)</f>
        <v>0</v>
      </c>
      <c r="J24" s="27" t="n">
        <f aca="false">I24/F24</f>
        <v>0</v>
      </c>
    </row>
    <row r="25" customFormat="false" ht="15.75" hidden="false" customHeight="true" outlineLevel="0" collapsed="false">
      <c r="A25" s="28" t="n">
        <v>7</v>
      </c>
      <c r="B25" s="30" t="s">
        <v>37</v>
      </c>
      <c r="C25" s="26" t="s">
        <v>29</v>
      </c>
      <c r="D25" s="23" t="n">
        <v>57</v>
      </c>
      <c r="E25" s="24" t="n">
        <v>12</v>
      </c>
      <c r="F25" s="23" t="n">
        <v>684</v>
      </c>
      <c r="G25" s="25" t="s">
        <v>12</v>
      </c>
      <c r="H25" s="19"/>
      <c r="I25" s="26" t="n">
        <f aca="false">MROUND(H25,D25)</f>
        <v>0</v>
      </c>
      <c r="J25" s="27" t="n">
        <f aca="false">I25/F25</f>
        <v>0</v>
      </c>
    </row>
    <row r="26" customFormat="false" ht="15.75" hidden="false" customHeight="true" outlineLevel="0" collapsed="false">
      <c r="A26" s="28" t="n">
        <v>7</v>
      </c>
      <c r="B26" s="30" t="s">
        <v>38</v>
      </c>
      <c r="C26" s="26" t="s">
        <v>29</v>
      </c>
      <c r="D26" s="23" t="n">
        <v>26</v>
      </c>
      <c r="E26" s="24" t="n">
        <v>12</v>
      </c>
      <c r="F26" s="23" t="n">
        <v>312</v>
      </c>
      <c r="G26" s="25" t="s">
        <v>12</v>
      </c>
      <c r="H26" s="19"/>
      <c r="I26" s="26" t="n">
        <f aca="false">MROUND(H26,D26)</f>
        <v>0</v>
      </c>
      <c r="J26" s="27" t="n">
        <f aca="false">I26/F26</f>
        <v>0</v>
      </c>
    </row>
    <row r="27" customFormat="false" ht="15.75" hidden="false" customHeight="true" outlineLevel="0" collapsed="false">
      <c r="A27" s="28" t="n">
        <v>7</v>
      </c>
      <c r="B27" s="30" t="s">
        <v>39</v>
      </c>
      <c r="C27" s="26" t="s">
        <v>29</v>
      </c>
      <c r="D27" s="23" t="n">
        <v>15</v>
      </c>
      <c r="E27" s="24" t="n">
        <v>12</v>
      </c>
      <c r="F27" s="23" t="n">
        <v>180</v>
      </c>
      <c r="G27" s="25" t="s">
        <v>12</v>
      </c>
      <c r="H27" s="19"/>
      <c r="I27" s="26" t="n">
        <f aca="false">MROUND(H27,D27)</f>
        <v>0</v>
      </c>
      <c r="J27" s="27" t="n">
        <f aca="false">I27/F27</f>
        <v>0</v>
      </c>
    </row>
    <row r="28" customFormat="false" ht="15.75" hidden="false" customHeight="true" outlineLevel="0" collapsed="false">
      <c r="A28" s="6"/>
      <c r="B28" s="7" t="s">
        <v>40</v>
      </c>
      <c r="C28" s="7"/>
      <c r="D28" s="16"/>
      <c r="E28" s="17"/>
      <c r="F28" s="16"/>
      <c r="G28" s="18"/>
      <c r="H28" s="19"/>
      <c r="I28" s="20"/>
      <c r="J28" s="21"/>
    </row>
    <row r="29" customFormat="false" ht="15.75" hidden="false" customHeight="true" outlineLevel="0" collapsed="false">
      <c r="A29" s="13" t="n">
        <v>4</v>
      </c>
      <c r="B29" s="22" t="s">
        <v>41</v>
      </c>
      <c r="C29" s="20" t="s">
        <v>11</v>
      </c>
      <c r="D29" s="16" t="n">
        <v>360</v>
      </c>
      <c r="E29" s="17" t="n">
        <v>36</v>
      </c>
      <c r="F29" s="16" t="n">
        <v>12960</v>
      </c>
      <c r="G29" s="18" t="s">
        <v>12</v>
      </c>
      <c r="H29" s="19"/>
      <c r="I29" s="20" t="n">
        <f aca="false">MROUND(H29,D29)</f>
        <v>0</v>
      </c>
      <c r="J29" s="21" t="n">
        <f aca="false">I29/F29</f>
        <v>0</v>
      </c>
    </row>
    <row r="30" customFormat="false" ht="15.75" hidden="false" customHeight="true" outlineLevel="0" collapsed="false">
      <c r="A30" s="13" t="n">
        <v>4</v>
      </c>
      <c r="B30" s="22" t="s">
        <v>42</v>
      </c>
      <c r="C30" s="20" t="s">
        <v>11</v>
      </c>
      <c r="D30" s="16" t="n">
        <v>400</v>
      </c>
      <c r="E30" s="17" t="n">
        <v>24</v>
      </c>
      <c r="F30" s="16" t="n">
        <v>9600</v>
      </c>
      <c r="G30" s="18" t="s">
        <v>12</v>
      </c>
      <c r="H30" s="19"/>
      <c r="I30" s="20" t="n">
        <f aca="false">MROUND(H30,D30)</f>
        <v>0</v>
      </c>
      <c r="J30" s="21" t="n">
        <f aca="false">I30/F30</f>
        <v>0</v>
      </c>
    </row>
    <row r="31" customFormat="false" ht="15.75" hidden="false" customHeight="true" outlineLevel="0" collapsed="false">
      <c r="A31" s="13" t="n">
        <v>4</v>
      </c>
      <c r="B31" s="22" t="s">
        <v>43</v>
      </c>
      <c r="C31" s="20" t="s">
        <v>11</v>
      </c>
      <c r="D31" s="16" t="n">
        <v>280</v>
      </c>
      <c r="E31" s="17" t="n">
        <v>20</v>
      </c>
      <c r="F31" s="16" t="n">
        <v>5600</v>
      </c>
      <c r="G31" s="18" t="s">
        <v>12</v>
      </c>
      <c r="H31" s="19"/>
      <c r="I31" s="20" t="n">
        <f aca="false">MROUND(H31,D31)</f>
        <v>0</v>
      </c>
      <c r="J31" s="21" t="n">
        <f aca="false">I31/F31</f>
        <v>0</v>
      </c>
    </row>
    <row r="32" customFormat="false" ht="15.75" hidden="false" customHeight="true" outlineLevel="0" collapsed="false">
      <c r="A32" s="13" t="n">
        <v>4</v>
      </c>
      <c r="B32" s="22" t="s">
        <v>44</v>
      </c>
      <c r="C32" s="20" t="s">
        <v>11</v>
      </c>
      <c r="D32" s="16" t="n">
        <v>220</v>
      </c>
      <c r="E32" s="17" t="n">
        <v>24</v>
      </c>
      <c r="F32" s="16" t="n">
        <v>5280</v>
      </c>
      <c r="G32" s="18" t="s">
        <v>12</v>
      </c>
      <c r="H32" s="19"/>
      <c r="I32" s="20" t="n">
        <f aca="false">MROUND(H32,D32)</f>
        <v>0</v>
      </c>
      <c r="J32" s="21" t="n">
        <f aca="false">I32/F32</f>
        <v>0</v>
      </c>
    </row>
    <row r="33" customFormat="false" ht="15.75" hidden="false" customHeight="true" outlineLevel="0" collapsed="false">
      <c r="A33" s="13" t="n">
        <v>7</v>
      </c>
      <c r="B33" s="22" t="s">
        <v>45</v>
      </c>
      <c r="C33" s="20" t="s">
        <v>46</v>
      </c>
      <c r="D33" s="16" t="n">
        <v>270</v>
      </c>
      <c r="E33" s="17" t="n">
        <v>16</v>
      </c>
      <c r="F33" s="16" t="n">
        <f aca="false">D33*E33</f>
        <v>4320</v>
      </c>
      <c r="G33" s="18" t="s">
        <v>12</v>
      </c>
      <c r="H33" s="19"/>
      <c r="I33" s="20" t="n">
        <f aca="false">MROUND(H33,D33)</f>
        <v>0</v>
      </c>
      <c r="J33" s="21" t="n">
        <f aca="false">I33/F33</f>
        <v>0</v>
      </c>
    </row>
    <row r="34" customFormat="false" ht="15.75" hidden="false" customHeight="true" outlineLevel="0" collapsed="false">
      <c r="A34" s="13" t="n">
        <v>7</v>
      </c>
      <c r="B34" s="22" t="s">
        <v>47</v>
      </c>
      <c r="C34" s="20" t="s">
        <v>46</v>
      </c>
      <c r="D34" s="16" t="n">
        <v>185</v>
      </c>
      <c r="E34" s="17" t="n">
        <v>16</v>
      </c>
      <c r="F34" s="16" t="n">
        <f aca="false">D34*E34</f>
        <v>2960</v>
      </c>
      <c r="G34" s="18" t="s">
        <v>12</v>
      </c>
      <c r="H34" s="19"/>
      <c r="I34" s="20" t="n">
        <f aca="false">MROUND(H34,D34)</f>
        <v>0</v>
      </c>
      <c r="J34" s="21" t="n">
        <f aca="false">I34/F34</f>
        <v>0</v>
      </c>
    </row>
    <row r="35" customFormat="false" ht="15.75" hidden="false" customHeight="true" outlineLevel="0" collapsed="false">
      <c r="A35" s="13" t="n">
        <v>7</v>
      </c>
      <c r="B35" s="22" t="s">
        <v>48</v>
      </c>
      <c r="C35" s="20" t="s">
        <v>46</v>
      </c>
      <c r="D35" s="16" t="n">
        <v>73</v>
      </c>
      <c r="E35" s="17" t="n">
        <v>28</v>
      </c>
      <c r="F35" s="16" t="n">
        <f aca="false">D35*E35</f>
        <v>2044</v>
      </c>
      <c r="G35" s="18" t="s">
        <v>12</v>
      </c>
      <c r="H35" s="19"/>
      <c r="I35" s="20" t="n">
        <f aca="false">MROUND(H35,D35)</f>
        <v>0</v>
      </c>
      <c r="J35" s="21" t="n">
        <f aca="false">I35/F35</f>
        <v>0</v>
      </c>
    </row>
    <row r="36" customFormat="false" ht="15.75" hidden="false" customHeight="true" outlineLevel="0" collapsed="false">
      <c r="A36" s="13" t="n">
        <v>7</v>
      </c>
      <c r="B36" s="22" t="s">
        <v>49</v>
      </c>
      <c r="C36" s="20" t="s">
        <v>46</v>
      </c>
      <c r="D36" s="16" t="n">
        <v>75</v>
      </c>
      <c r="E36" s="17" t="n">
        <v>16</v>
      </c>
      <c r="F36" s="16" t="n">
        <f aca="false">D36*E36</f>
        <v>1200</v>
      </c>
      <c r="G36" s="18" t="s">
        <v>12</v>
      </c>
      <c r="H36" s="19"/>
      <c r="I36" s="20" t="n">
        <f aca="false">MROUND(H36,D36)</f>
        <v>0</v>
      </c>
      <c r="J36" s="21" t="n">
        <f aca="false">I36/F36</f>
        <v>0</v>
      </c>
    </row>
    <row r="37" customFormat="false" ht="15.75" hidden="false" customHeight="true" outlineLevel="0" collapsed="false">
      <c r="A37" s="13" t="n">
        <v>7</v>
      </c>
      <c r="B37" s="22" t="s">
        <v>50</v>
      </c>
      <c r="C37" s="20" t="s">
        <v>46</v>
      </c>
      <c r="D37" s="16" t="n">
        <v>76</v>
      </c>
      <c r="E37" s="17" t="n">
        <v>12</v>
      </c>
      <c r="F37" s="16" t="n">
        <f aca="false">D37*E37</f>
        <v>912</v>
      </c>
      <c r="G37" s="18" t="s">
        <v>12</v>
      </c>
      <c r="H37" s="19"/>
      <c r="I37" s="20" t="n">
        <f aca="false">MROUND(H37,D37)</f>
        <v>0</v>
      </c>
      <c r="J37" s="21" t="n">
        <f aca="false">I37/F37</f>
        <v>0</v>
      </c>
    </row>
    <row r="38" customFormat="false" ht="15.75" hidden="false" customHeight="true" outlineLevel="0" collapsed="false">
      <c r="A38" s="13" t="n">
        <v>7</v>
      </c>
      <c r="B38" s="22" t="s">
        <v>51</v>
      </c>
      <c r="C38" s="20" t="s">
        <v>46</v>
      </c>
      <c r="D38" s="17" t="s">
        <v>52</v>
      </c>
      <c r="E38" s="17" t="s">
        <v>53</v>
      </c>
      <c r="F38" s="16" t="n">
        <f aca="false">7840/20</f>
        <v>392</v>
      </c>
      <c r="G38" s="18" t="s">
        <v>12</v>
      </c>
      <c r="H38" s="19"/>
      <c r="I38" s="20" t="n">
        <f aca="false">MROUND(H38,28)</f>
        <v>0</v>
      </c>
      <c r="J38" s="21" t="n">
        <f aca="false">I38/F38</f>
        <v>0</v>
      </c>
    </row>
    <row r="39" customFormat="false" ht="15.75" hidden="false" customHeight="true" outlineLevel="0" collapsed="false">
      <c r="A39" s="13" t="n">
        <v>7</v>
      </c>
      <c r="B39" s="22" t="s">
        <v>54</v>
      </c>
      <c r="C39" s="20" t="s">
        <v>46</v>
      </c>
      <c r="D39" s="17" t="s">
        <v>55</v>
      </c>
      <c r="E39" s="17" t="s">
        <v>56</v>
      </c>
      <c r="F39" s="16" t="n">
        <v>220</v>
      </c>
      <c r="G39" s="18" t="s">
        <v>12</v>
      </c>
      <c r="H39" s="19"/>
      <c r="I39" s="20" t="n">
        <f aca="false">MROUND(H39,25)</f>
        <v>0</v>
      </c>
      <c r="J39" s="21" t="n">
        <f aca="false">I39/F39</f>
        <v>0</v>
      </c>
    </row>
    <row r="40" customFormat="false" ht="15.75" hidden="false" customHeight="true" outlineLevel="0" collapsed="false">
      <c r="A40" s="13" t="n">
        <v>7</v>
      </c>
      <c r="B40" s="22" t="s">
        <v>57</v>
      </c>
      <c r="C40" s="20" t="s">
        <v>46</v>
      </c>
      <c r="D40" s="17" t="s">
        <v>58</v>
      </c>
      <c r="E40" s="17" t="s">
        <v>56</v>
      </c>
      <c r="F40" s="16" t="n">
        <f aca="false">2880/20</f>
        <v>144</v>
      </c>
      <c r="G40" s="18" t="s">
        <v>12</v>
      </c>
      <c r="H40" s="19"/>
      <c r="I40" s="20" t="n">
        <f aca="false">MROUND(H40,16)</f>
        <v>0</v>
      </c>
      <c r="J40" s="21" t="n">
        <f aca="false">I40/F40</f>
        <v>0</v>
      </c>
    </row>
    <row r="41" customFormat="false" ht="15.75" hidden="false" customHeight="true" outlineLevel="0" collapsed="false">
      <c r="A41" s="13" t="n">
        <v>7</v>
      </c>
      <c r="B41" s="22" t="s">
        <v>59</v>
      </c>
      <c r="C41" s="20" t="s">
        <v>46</v>
      </c>
      <c r="D41" s="17" t="s">
        <v>60</v>
      </c>
      <c r="E41" s="17" t="s">
        <v>61</v>
      </c>
      <c r="F41" s="16" t="n">
        <f aca="false">1960/20</f>
        <v>98</v>
      </c>
      <c r="G41" s="18" t="s">
        <v>12</v>
      </c>
      <c r="H41" s="19"/>
      <c r="I41" s="20" t="n">
        <f aca="false">MROUND(H41,12)</f>
        <v>0</v>
      </c>
      <c r="J41" s="21" t="n">
        <f aca="false">I41/F41</f>
        <v>0</v>
      </c>
    </row>
    <row r="42" customFormat="false" ht="15.75" hidden="false" customHeight="true" outlineLevel="0" collapsed="false">
      <c r="A42" s="6"/>
      <c r="B42" s="7" t="s">
        <v>62</v>
      </c>
      <c r="C42" s="7"/>
      <c r="D42" s="23"/>
      <c r="E42" s="24"/>
      <c r="F42" s="23"/>
      <c r="G42" s="25"/>
      <c r="H42" s="19"/>
      <c r="I42" s="26"/>
      <c r="J42" s="27"/>
    </row>
    <row r="43" customFormat="false" ht="15.75" hidden="false" customHeight="true" outlineLevel="0" collapsed="false">
      <c r="A43" s="28" t="n">
        <v>4</v>
      </c>
      <c r="B43" s="30" t="s">
        <v>63</v>
      </c>
      <c r="C43" s="26" t="s">
        <v>11</v>
      </c>
      <c r="D43" s="23" t="n">
        <v>400</v>
      </c>
      <c r="E43" s="24" t="n">
        <v>24</v>
      </c>
      <c r="F43" s="23" t="n">
        <v>9600</v>
      </c>
      <c r="G43" s="25" t="s">
        <v>12</v>
      </c>
      <c r="H43" s="19"/>
      <c r="I43" s="26" t="n">
        <f aca="false">MROUND(H43,D43)</f>
        <v>0</v>
      </c>
      <c r="J43" s="27" t="n">
        <f aca="false">I43/F43</f>
        <v>0</v>
      </c>
    </row>
    <row r="44" customFormat="false" ht="15.75" hidden="false" customHeight="true" outlineLevel="0" collapsed="false">
      <c r="A44" s="28" t="n">
        <v>4</v>
      </c>
      <c r="B44" s="30" t="s">
        <v>64</v>
      </c>
      <c r="C44" s="26" t="s">
        <v>11</v>
      </c>
      <c r="D44" s="23" t="n">
        <v>280</v>
      </c>
      <c r="E44" s="24" t="n">
        <v>20</v>
      </c>
      <c r="F44" s="23" t="n">
        <v>5600</v>
      </c>
      <c r="G44" s="25" t="s">
        <v>12</v>
      </c>
      <c r="H44" s="19"/>
      <c r="I44" s="26" t="n">
        <f aca="false">MROUND(H44,D44)</f>
        <v>0</v>
      </c>
      <c r="J44" s="27" t="n">
        <f aca="false">I44/F44</f>
        <v>0</v>
      </c>
    </row>
    <row r="45" customFormat="false" ht="15.75" hidden="false" customHeight="true" outlineLevel="0" collapsed="false">
      <c r="A45" s="28" t="n">
        <v>4</v>
      </c>
      <c r="B45" s="30" t="s">
        <v>65</v>
      </c>
      <c r="C45" s="26" t="s">
        <v>11</v>
      </c>
      <c r="D45" s="23" t="n">
        <v>220</v>
      </c>
      <c r="E45" s="24" t="n">
        <v>24</v>
      </c>
      <c r="F45" s="23" t="n">
        <v>5280</v>
      </c>
      <c r="G45" s="25" t="s">
        <v>12</v>
      </c>
      <c r="H45" s="19"/>
      <c r="I45" s="26" t="n">
        <f aca="false">MROUND(H45,D45)</f>
        <v>0</v>
      </c>
      <c r="J45" s="27" t="n">
        <f aca="false">I45/F45</f>
        <v>0</v>
      </c>
    </row>
    <row r="46" customFormat="false" ht="15.75" hidden="false" customHeight="true" outlineLevel="0" collapsed="false">
      <c r="A46" s="28" t="n">
        <v>7</v>
      </c>
      <c r="B46" s="30" t="s">
        <v>66</v>
      </c>
      <c r="C46" s="26" t="s">
        <v>46</v>
      </c>
      <c r="D46" s="23" t="n">
        <v>270</v>
      </c>
      <c r="E46" s="24" t="n">
        <v>16</v>
      </c>
      <c r="F46" s="23" t="n">
        <f aca="false">D46*E46</f>
        <v>4320</v>
      </c>
      <c r="G46" s="25" t="s">
        <v>12</v>
      </c>
      <c r="H46" s="19"/>
      <c r="I46" s="26" t="n">
        <f aca="false">MROUND(H46,D46)</f>
        <v>0</v>
      </c>
      <c r="J46" s="27" t="n">
        <f aca="false">I46/F46</f>
        <v>0</v>
      </c>
    </row>
    <row r="47" customFormat="false" ht="15.75" hidden="false" customHeight="true" outlineLevel="0" collapsed="false">
      <c r="A47" s="28" t="n">
        <v>7</v>
      </c>
      <c r="B47" s="30" t="s">
        <v>67</v>
      </c>
      <c r="C47" s="26" t="s">
        <v>46</v>
      </c>
      <c r="D47" s="23" t="n">
        <v>185</v>
      </c>
      <c r="E47" s="24" t="n">
        <v>16</v>
      </c>
      <c r="F47" s="23" t="n">
        <f aca="false">D47*E47</f>
        <v>2960</v>
      </c>
      <c r="G47" s="25" t="s">
        <v>12</v>
      </c>
      <c r="H47" s="19"/>
      <c r="I47" s="26" t="n">
        <f aca="false">MROUND(H47,D47)</f>
        <v>0</v>
      </c>
      <c r="J47" s="27" t="n">
        <f aca="false">I47/F47</f>
        <v>0</v>
      </c>
    </row>
    <row r="48" customFormat="false" ht="15.75" hidden="false" customHeight="true" outlineLevel="0" collapsed="false">
      <c r="A48" s="28" t="n">
        <v>7</v>
      </c>
      <c r="B48" s="30" t="s">
        <v>68</v>
      </c>
      <c r="C48" s="26" t="s">
        <v>46</v>
      </c>
      <c r="D48" s="23" t="n">
        <v>73</v>
      </c>
      <c r="E48" s="24" t="n">
        <v>28</v>
      </c>
      <c r="F48" s="23" t="n">
        <f aca="false">D48*E48</f>
        <v>2044</v>
      </c>
      <c r="G48" s="25" t="s">
        <v>12</v>
      </c>
      <c r="H48" s="19"/>
      <c r="I48" s="26" t="n">
        <f aca="false">MROUND(H48,D48)</f>
        <v>0</v>
      </c>
      <c r="J48" s="27" t="n">
        <f aca="false">I48/F48</f>
        <v>0</v>
      </c>
    </row>
    <row r="49" customFormat="false" ht="15.75" hidden="false" customHeight="true" outlineLevel="0" collapsed="false">
      <c r="A49" s="28" t="n">
        <v>7</v>
      </c>
      <c r="B49" s="30" t="s">
        <v>69</v>
      </c>
      <c r="C49" s="26" t="s">
        <v>46</v>
      </c>
      <c r="D49" s="23" t="n">
        <v>75</v>
      </c>
      <c r="E49" s="24" t="n">
        <v>16</v>
      </c>
      <c r="F49" s="23" t="n">
        <f aca="false">D49*E49</f>
        <v>1200</v>
      </c>
      <c r="G49" s="25" t="s">
        <v>12</v>
      </c>
      <c r="H49" s="19"/>
      <c r="I49" s="26" t="n">
        <f aca="false">MROUND(H49,D49)</f>
        <v>0</v>
      </c>
      <c r="J49" s="27" t="n">
        <f aca="false">I49/F49</f>
        <v>0</v>
      </c>
    </row>
    <row r="50" customFormat="false" ht="15.75" hidden="false" customHeight="true" outlineLevel="0" collapsed="false">
      <c r="A50" s="28" t="n">
        <v>7</v>
      </c>
      <c r="B50" s="30" t="s">
        <v>70</v>
      </c>
      <c r="C50" s="26" t="s">
        <v>46</v>
      </c>
      <c r="D50" s="23" t="n">
        <v>76</v>
      </c>
      <c r="E50" s="24" t="n">
        <v>12</v>
      </c>
      <c r="F50" s="23" t="n">
        <f aca="false">D50*E50</f>
        <v>912</v>
      </c>
      <c r="G50" s="25" t="s">
        <v>12</v>
      </c>
      <c r="H50" s="19"/>
      <c r="I50" s="26" t="n">
        <f aca="false">MROUND(H50,D50)</f>
        <v>0</v>
      </c>
      <c r="J50" s="27" t="n">
        <f aca="false">I50/F50</f>
        <v>0</v>
      </c>
    </row>
    <row r="51" customFormat="false" ht="15.75" hidden="false" customHeight="true" outlineLevel="0" collapsed="false">
      <c r="A51" s="28" t="n">
        <v>7</v>
      </c>
      <c r="B51" s="30" t="s">
        <v>71</v>
      </c>
      <c r="C51" s="26" t="s">
        <v>46</v>
      </c>
      <c r="D51" s="24" t="s">
        <v>52</v>
      </c>
      <c r="E51" s="24" t="s">
        <v>53</v>
      </c>
      <c r="F51" s="23" t="n">
        <f aca="false">7840/20</f>
        <v>392</v>
      </c>
      <c r="G51" s="25" t="s">
        <v>12</v>
      </c>
      <c r="H51" s="19"/>
      <c r="I51" s="26" t="n">
        <f aca="false">MROUND(H51,28)</f>
        <v>0</v>
      </c>
      <c r="J51" s="27" t="n">
        <f aca="false">I51/F51</f>
        <v>0</v>
      </c>
    </row>
    <row r="52" customFormat="false" ht="15.75" hidden="false" customHeight="true" outlineLevel="0" collapsed="false">
      <c r="A52" s="28" t="n">
        <v>7</v>
      </c>
      <c r="B52" s="30" t="s">
        <v>72</v>
      </c>
      <c r="C52" s="26" t="s">
        <v>46</v>
      </c>
      <c r="D52" s="24" t="s">
        <v>55</v>
      </c>
      <c r="E52" s="24" t="s">
        <v>56</v>
      </c>
      <c r="F52" s="23" t="n">
        <v>220</v>
      </c>
      <c r="G52" s="25" t="s">
        <v>12</v>
      </c>
      <c r="H52" s="19"/>
      <c r="I52" s="26" t="n">
        <f aca="false">MROUND(H52,25)</f>
        <v>0</v>
      </c>
      <c r="J52" s="27" t="n">
        <f aca="false">I52/F52</f>
        <v>0</v>
      </c>
    </row>
    <row r="53" customFormat="false" ht="15.75" hidden="false" customHeight="true" outlineLevel="0" collapsed="false">
      <c r="A53" s="28" t="n">
        <v>7</v>
      </c>
      <c r="B53" s="30" t="s">
        <v>73</v>
      </c>
      <c r="C53" s="26" t="s">
        <v>46</v>
      </c>
      <c r="D53" s="24" t="s">
        <v>58</v>
      </c>
      <c r="E53" s="24" t="s">
        <v>56</v>
      </c>
      <c r="F53" s="23" t="n">
        <f aca="false">2880/20</f>
        <v>144</v>
      </c>
      <c r="G53" s="25" t="s">
        <v>12</v>
      </c>
      <c r="H53" s="19"/>
      <c r="I53" s="26" t="n">
        <f aca="false">MROUND(H53,16)</f>
        <v>0</v>
      </c>
      <c r="J53" s="27" t="n">
        <f aca="false">I53/F53</f>
        <v>0</v>
      </c>
    </row>
    <row r="54" customFormat="false" ht="15.75" hidden="false" customHeight="true" outlineLevel="0" collapsed="false">
      <c r="A54" s="28" t="n">
        <v>7</v>
      </c>
      <c r="B54" s="30" t="s">
        <v>74</v>
      </c>
      <c r="C54" s="26" t="s">
        <v>46</v>
      </c>
      <c r="D54" s="24" t="s">
        <v>60</v>
      </c>
      <c r="E54" s="24" t="s">
        <v>61</v>
      </c>
      <c r="F54" s="23" t="n">
        <f aca="false">1960/20</f>
        <v>98</v>
      </c>
      <c r="G54" s="25" t="s">
        <v>12</v>
      </c>
      <c r="H54" s="19"/>
      <c r="I54" s="26" t="n">
        <f aca="false">MROUND(H54,12)</f>
        <v>0</v>
      </c>
      <c r="J54" s="27" t="n">
        <f aca="false">I54/F54</f>
        <v>0</v>
      </c>
    </row>
    <row r="55" customFormat="false" ht="15.75" hidden="false" customHeight="true" outlineLevel="0" collapsed="false">
      <c r="A55" s="6"/>
      <c r="B55" s="7" t="s">
        <v>75</v>
      </c>
      <c r="C55" s="7"/>
      <c r="D55" s="17"/>
      <c r="E55" s="17"/>
      <c r="F55" s="16"/>
      <c r="G55" s="18"/>
      <c r="H55" s="19"/>
      <c r="I55" s="20"/>
      <c r="J55" s="21"/>
    </row>
    <row r="56" customFormat="false" ht="15.75" hidden="false" customHeight="true" outlineLevel="0" collapsed="false">
      <c r="A56" s="13" t="n">
        <v>4</v>
      </c>
      <c r="B56" s="22" t="s">
        <v>76</v>
      </c>
      <c r="C56" s="20" t="s">
        <v>46</v>
      </c>
      <c r="D56" s="17" t="n">
        <v>60</v>
      </c>
      <c r="E56" s="17" t="n">
        <v>12</v>
      </c>
      <c r="F56" s="16" t="n">
        <f aca="false">E56*D56</f>
        <v>720</v>
      </c>
      <c r="G56" s="18" t="s">
        <v>12</v>
      </c>
      <c r="H56" s="19"/>
      <c r="I56" s="20" t="n">
        <f aca="false">MROUND(H56,D56)</f>
        <v>0</v>
      </c>
      <c r="J56" s="21" t="n">
        <f aca="false">I56/F56</f>
        <v>0</v>
      </c>
    </row>
    <row r="57" customFormat="false" ht="15.75" hidden="false" customHeight="true" outlineLevel="0" collapsed="false">
      <c r="A57" s="13" t="n">
        <v>4</v>
      </c>
      <c r="B57" s="22" t="s">
        <v>77</v>
      </c>
      <c r="C57" s="20" t="s">
        <v>46</v>
      </c>
      <c r="D57" s="17" t="n">
        <v>28</v>
      </c>
      <c r="E57" s="17" t="n">
        <v>12</v>
      </c>
      <c r="F57" s="16" t="n">
        <f aca="false">E57*D57</f>
        <v>336</v>
      </c>
      <c r="G57" s="18" t="s">
        <v>12</v>
      </c>
      <c r="H57" s="19"/>
      <c r="I57" s="20" t="n">
        <f aca="false">MROUND(H57,D57)</f>
        <v>0</v>
      </c>
      <c r="J57" s="21" t="n">
        <f aca="false">I57/F57</f>
        <v>0</v>
      </c>
    </row>
    <row r="58" customFormat="false" ht="15.75" hidden="false" customHeight="true" outlineLevel="0" collapsed="false">
      <c r="A58" s="13" t="n">
        <v>4</v>
      </c>
      <c r="B58" s="22" t="s">
        <v>78</v>
      </c>
      <c r="C58" s="20" t="s">
        <v>46</v>
      </c>
      <c r="D58" s="17" t="n">
        <v>15</v>
      </c>
      <c r="E58" s="17" t="n">
        <v>12</v>
      </c>
      <c r="F58" s="16" t="n">
        <f aca="false">E58*D58</f>
        <v>180</v>
      </c>
      <c r="G58" s="18" t="s">
        <v>12</v>
      </c>
      <c r="H58" s="19"/>
      <c r="I58" s="20" t="n">
        <f aca="false">MROUND(H58,D58)</f>
        <v>0</v>
      </c>
      <c r="J58" s="21" t="n">
        <f aca="false">I58/F58</f>
        <v>0</v>
      </c>
    </row>
    <row r="59" customFormat="false" ht="15.75" hidden="false" customHeight="true" outlineLevel="0" collapsed="false">
      <c r="A59" s="13" t="n">
        <v>8</v>
      </c>
      <c r="B59" s="22" t="s">
        <v>79</v>
      </c>
      <c r="C59" s="20" t="s">
        <v>46</v>
      </c>
      <c r="D59" s="17" t="n">
        <v>16</v>
      </c>
      <c r="E59" s="17" t="n">
        <v>8</v>
      </c>
      <c r="F59" s="16" t="n">
        <f aca="false">E59*D59</f>
        <v>128</v>
      </c>
      <c r="G59" s="18" t="s">
        <v>12</v>
      </c>
      <c r="H59" s="19"/>
      <c r="I59" s="20" t="n">
        <f aca="false">MROUND(H59,D59)</f>
        <v>0</v>
      </c>
      <c r="J59" s="21" t="n">
        <f aca="false">I59/F59</f>
        <v>0</v>
      </c>
    </row>
    <row r="60" customFormat="false" ht="15.75" hidden="false" customHeight="true" outlineLevel="0" collapsed="false">
      <c r="A60" s="13" t="n">
        <v>8</v>
      </c>
      <c r="B60" s="22" t="s">
        <v>80</v>
      </c>
      <c r="C60" s="20" t="s">
        <v>46</v>
      </c>
      <c r="D60" s="17" t="s">
        <v>81</v>
      </c>
      <c r="E60" s="17" t="s">
        <v>26</v>
      </c>
      <c r="F60" s="16" t="n">
        <v>84</v>
      </c>
      <c r="G60" s="18" t="s">
        <v>12</v>
      </c>
      <c r="H60" s="19"/>
      <c r="I60" s="20" t="n">
        <f aca="false">MROUND(H60,4)</f>
        <v>0</v>
      </c>
      <c r="J60" s="21" t="n">
        <f aca="false">I60/F60</f>
        <v>0</v>
      </c>
    </row>
    <row r="61" customFormat="false" ht="15.75" hidden="false" customHeight="true" outlineLevel="0" collapsed="false">
      <c r="A61" s="28" t="n">
        <v>4</v>
      </c>
      <c r="B61" s="30" t="s">
        <v>82</v>
      </c>
      <c r="C61" s="26" t="s">
        <v>46</v>
      </c>
      <c r="D61" s="24" t="n">
        <v>60</v>
      </c>
      <c r="E61" s="24" t="n">
        <v>12</v>
      </c>
      <c r="F61" s="23" t="n">
        <f aca="false">E61*D61</f>
        <v>720</v>
      </c>
      <c r="G61" s="25" t="s">
        <v>12</v>
      </c>
      <c r="H61" s="19"/>
      <c r="I61" s="26" t="n">
        <f aca="false">MROUND(H61,D61)</f>
        <v>0</v>
      </c>
      <c r="J61" s="27" t="n">
        <f aca="false">I61/F61</f>
        <v>0</v>
      </c>
    </row>
    <row r="62" customFormat="false" ht="15.75" hidden="false" customHeight="true" outlineLevel="0" collapsed="false">
      <c r="A62" s="28" t="n">
        <v>4</v>
      </c>
      <c r="B62" s="30" t="s">
        <v>83</v>
      </c>
      <c r="C62" s="26" t="s">
        <v>46</v>
      </c>
      <c r="D62" s="24" t="n">
        <v>28</v>
      </c>
      <c r="E62" s="24" t="n">
        <v>12</v>
      </c>
      <c r="F62" s="23" t="n">
        <f aca="false">E62*D62</f>
        <v>336</v>
      </c>
      <c r="G62" s="25" t="s">
        <v>12</v>
      </c>
      <c r="H62" s="19"/>
      <c r="I62" s="26" t="n">
        <f aca="false">MROUND(H62,D62)</f>
        <v>0</v>
      </c>
      <c r="J62" s="27" t="n">
        <f aca="false">I62/F62</f>
        <v>0</v>
      </c>
    </row>
    <row r="63" customFormat="false" ht="15.75" hidden="false" customHeight="true" outlineLevel="0" collapsed="false">
      <c r="A63" s="28" t="n">
        <v>4</v>
      </c>
      <c r="B63" s="30" t="s">
        <v>84</v>
      </c>
      <c r="C63" s="26" t="s">
        <v>46</v>
      </c>
      <c r="D63" s="24" t="s">
        <v>85</v>
      </c>
      <c r="E63" s="24" t="s">
        <v>86</v>
      </c>
      <c r="F63" s="23" t="n">
        <v>200</v>
      </c>
      <c r="G63" s="25" t="s">
        <v>12</v>
      </c>
      <c r="H63" s="19"/>
      <c r="I63" s="26" t="n">
        <f aca="false">MROUND(H63,15)</f>
        <v>0</v>
      </c>
      <c r="J63" s="27" t="n">
        <f aca="false">I63/F63</f>
        <v>0</v>
      </c>
    </row>
    <row r="64" customFormat="false" ht="15.75" hidden="false" customHeight="true" outlineLevel="0" collapsed="false">
      <c r="A64" s="28" t="n">
        <v>8</v>
      </c>
      <c r="B64" s="30" t="s">
        <v>87</v>
      </c>
      <c r="C64" s="26" t="s">
        <v>46</v>
      </c>
      <c r="D64" s="24" t="n">
        <v>16</v>
      </c>
      <c r="E64" s="24" t="n">
        <v>8</v>
      </c>
      <c r="F64" s="23" t="n">
        <f aca="false">E64*D64</f>
        <v>128</v>
      </c>
      <c r="G64" s="25" t="s">
        <v>12</v>
      </c>
      <c r="H64" s="19"/>
      <c r="I64" s="26" t="n">
        <f aca="false">MROUND(H64,D64)</f>
        <v>0</v>
      </c>
      <c r="J64" s="27" t="n">
        <f aca="false">I64/F64</f>
        <v>0</v>
      </c>
    </row>
    <row r="65" customFormat="false" ht="15.75" hidden="false" customHeight="true" outlineLevel="0" collapsed="false">
      <c r="A65" s="28" t="n">
        <v>8</v>
      </c>
      <c r="B65" s="30" t="s">
        <v>88</v>
      </c>
      <c r="C65" s="26" t="s">
        <v>46</v>
      </c>
      <c r="D65" s="24" t="s">
        <v>89</v>
      </c>
      <c r="E65" s="24" t="s">
        <v>90</v>
      </c>
      <c r="F65" s="23" t="n">
        <f aca="false">1960/20</f>
        <v>98</v>
      </c>
      <c r="G65" s="25" t="s">
        <v>12</v>
      </c>
      <c r="H65" s="19"/>
      <c r="I65" s="26" t="n">
        <f aca="false">MROUND(H65,8)</f>
        <v>0</v>
      </c>
      <c r="J65" s="27" t="n">
        <f aca="false">I65/F65</f>
        <v>0</v>
      </c>
    </row>
    <row r="66" customFormat="false" ht="15.75" hidden="false" customHeight="true" outlineLevel="0" collapsed="false">
      <c r="A66" s="28" t="n">
        <v>8</v>
      </c>
      <c r="B66" s="30" t="s">
        <v>91</v>
      </c>
      <c r="C66" s="26" t="s">
        <v>46</v>
      </c>
      <c r="D66" s="24" t="n">
        <v>9</v>
      </c>
      <c r="E66" s="24" t="n">
        <v>8</v>
      </c>
      <c r="F66" s="23" t="n">
        <f aca="false">1440/20</f>
        <v>72</v>
      </c>
      <c r="G66" s="25" t="s">
        <v>12</v>
      </c>
      <c r="H66" s="19"/>
      <c r="I66" s="26" t="n">
        <f aca="false">MROUND(H66,D66)</f>
        <v>0</v>
      </c>
      <c r="J66" s="27" t="n">
        <f aca="false">I66/F66</f>
        <v>0</v>
      </c>
    </row>
    <row r="67" customFormat="false" ht="15.75" hidden="false" customHeight="true" outlineLevel="0" collapsed="false">
      <c r="A67" s="28" t="n">
        <v>9</v>
      </c>
      <c r="B67" s="30" t="s">
        <v>92</v>
      </c>
      <c r="C67" s="26" t="s">
        <v>46</v>
      </c>
      <c r="D67" s="24" t="s">
        <v>93</v>
      </c>
      <c r="E67" s="24" t="s">
        <v>61</v>
      </c>
      <c r="F67" s="23" t="n">
        <v>50</v>
      </c>
      <c r="G67" s="25" t="s">
        <v>12</v>
      </c>
      <c r="H67" s="19"/>
      <c r="I67" s="26" t="n">
        <f aca="false">MROUND(H67,6)</f>
        <v>0</v>
      </c>
      <c r="J67" s="27" t="n">
        <f aca="false">I67/F67</f>
        <v>0</v>
      </c>
    </row>
    <row r="68" customFormat="false" ht="15.75" hidden="false" customHeight="true" outlineLevel="0" collapsed="false">
      <c r="A68" s="28" t="n">
        <v>9</v>
      </c>
      <c r="B68" s="30" t="s">
        <v>94</v>
      </c>
      <c r="C68" s="26" t="s">
        <v>46</v>
      </c>
      <c r="D68" s="24" t="s">
        <v>95</v>
      </c>
      <c r="E68" s="24" t="s">
        <v>56</v>
      </c>
      <c r="F68" s="23" t="n">
        <v>40</v>
      </c>
      <c r="G68" s="25" t="s">
        <v>12</v>
      </c>
      <c r="H68" s="19"/>
      <c r="I68" s="26" t="n">
        <f aca="false">MROUND(H68,4)</f>
        <v>0</v>
      </c>
      <c r="J68" s="27" t="n">
        <f aca="false">I68/F68</f>
        <v>0</v>
      </c>
    </row>
    <row r="69" customFormat="false" ht="15.75" hidden="false" customHeight="true" outlineLevel="0" collapsed="false">
      <c r="A69" s="28" t="n">
        <v>9</v>
      </c>
      <c r="B69" s="30" t="s">
        <v>96</v>
      </c>
      <c r="C69" s="26" t="s">
        <v>46</v>
      </c>
      <c r="D69" s="24" t="n">
        <v>4</v>
      </c>
      <c r="E69" s="24" t="n">
        <v>8</v>
      </c>
      <c r="F69" s="23" t="n">
        <v>32</v>
      </c>
      <c r="G69" s="25" t="s">
        <v>12</v>
      </c>
      <c r="H69" s="19"/>
      <c r="I69" s="26" t="n">
        <f aca="false">MROUND(H69,D69)</f>
        <v>0</v>
      </c>
      <c r="J69" s="27" t="n">
        <f aca="false">I69/F69</f>
        <v>0</v>
      </c>
    </row>
    <row r="70" customFormat="false" ht="15.75" hidden="false" customHeight="true" outlineLevel="0" collapsed="false">
      <c r="A70" s="28" t="n">
        <v>9</v>
      </c>
      <c r="B70" s="30" t="s">
        <v>97</v>
      </c>
      <c r="C70" s="26" t="s">
        <v>46</v>
      </c>
      <c r="D70" s="24" t="n">
        <v>3</v>
      </c>
      <c r="E70" s="24" t="n">
        <v>6</v>
      </c>
      <c r="F70" s="23" t="n">
        <v>18</v>
      </c>
      <c r="G70" s="25" t="s">
        <v>12</v>
      </c>
      <c r="H70" s="19"/>
      <c r="I70" s="26" t="n">
        <f aca="false">MROUND(H70,D70)</f>
        <v>0</v>
      </c>
      <c r="J70" s="27" t="n">
        <f aca="false">I70/F70</f>
        <v>0</v>
      </c>
    </row>
    <row r="71" customFormat="false" ht="15.75" hidden="false" customHeight="true" outlineLevel="0" collapsed="false">
      <c r="A71" s="13" t="n">
        <v>5</v>
      </c>
      <c r="B71" s="22" t="s">
        <v>98</v>
      </c>
      <c r="C71" s="20" t="s">
        <v>46</v>
      </c>
      <c r="D71" s="17" t="n">
        <v>60</v>
      </c>
      <c r="E71" s="17" t="n">
        <v>12</v>
      </c>
      <c r="F71" s="16" t="n">
        <f aca="false">E71*D71</f>
        <v>720</v>
      </c>
      <c r="G71" s="18" t="s">
        <v>12</v>
      </c>
      <c r="H71" s="19"/>
      <c r="I71" s="20" t="n">
        <f aca="false">MROUND(H71,D71)</f>
        <v>0</v>
      </c>
      <c r="J71" s="21" t="n">
        <f aca="false">I71/F71</f>
        <v>0</v>
      </c>
    </row>
    <row r="72" customFormat="false" ht="15.75" hidden="false" customHeight="true" outlineLevel="0" collapsed="false">
      <c r="A72" s="13" t="n">
        <v>5</v>
      </c>
      <c r="B72" s="22" t="s">
        <v>99</v>
      </c>
      <c r="C72" s="20" t="s">
        <v>46</v>
      </c>
      <c r="D72" s="17" t="n">
        <v>28</v>
      </c>
      <c r="E72" s="17" t="n">
        <v>12</v>
      </c>
      <c r="F72" s="16" t="n">
        <f aca="false">E72*D72</f>
        <v>336</v>
      </c>
      <c r="G72" s="18" t="s">
        <v>12</v>
      </c>
      <c r="H72" s="19"/>
      <c r="I72" s="20" t="n">
        <f aca="false">MROUND(H72,D72)</f>
        <v>0</v>
      </c>
      <c r="J72" s="21" t="n">
        <f aca="false">I72/F72</f>
        <v>0</v>
      </c>
    </row>
    <row r="73" customFormat="false" ht="15.75" hidden="false" customHeight="true" outlineLevel="0" collapsed="false">
      <c r="A73" s="13" t="n">
        <v>5</v>
      </c>
      <c r="B73" s="22" t="s">
        <v>100</v>
      </c>
      <c r="C73" s="20" t="s">
        <v>46</v>
      </c>
      <c r="D73" s="17" t="s">
        <v>85</v>
      </c>
      <c r="E73" s="17" t="s">
        <v>86</v>
      </c>
      <c r="F73" s="16" t="n">
        <v>200</v>
      </c>
      <c r="G73" s="18" t="s">
        <v>12</v>
      </c>
      <c r="H73" s="19"/>
      <c r="I73" s="20" t="n">
        <f aca="false">MROUND(H73,15)</f>
        <v>0</v>
      </c>
      <c r="J73" s="21" t="n">
        <f aca="false">I73/F73</f>
        <v>0</v>
      </c>
    </row>
    <row r="74" customFormat="false" ht="15.75" hidden="false" customHeight="true" outlineLevel="0" collapsed="false">
      <c r="A74" s="13" t="n">
        <v>9</v>
      </c>
      <c r="B74" s="22" t="s">
        <v>101</v>
      </c>
      <c r="C74" s="20" t="s">
        <v>46</v>
      </c>
      <c r="D74" s="17" t="n">
        <v>16</v>
      </c>
      <c r="E74" s="17" t="n">
        <v>8</v>
      </c>
      <c r="F74" s="16" t="n">
        <f aca="false">E74*D74</f>
        <v>128</v>
      </c>
      <c r="G74" s="18" t="s">
        <v>12</v>
      </c>
      <c r="H74" s="19"/>
      <c r="I74" s="20" t="n">
        <f aca="false">MROUND(H74,D74)</f>
        <v>0</v>
      </c>
      <c r="J74" s="21" t="n">
        <f aca="false">I74/F74</f>
        <v>0</v>
      </c>
    </row>
    <row r="75" customFormat="false" ht="15.75" hidden="false" customHeight="true" outlineLevel="0" collapsed="false">
      <c r="A75" s="13" t="n">
        <v>9</v>
      </c>
      <c r="B75" s="22" t="s">
        <v>102</v>
      </c>
      <c r="C75" s="20" t="s">
        <v>46</v>
      </c>
      <c r="D75" s="17" t="s">
        <v>89</v>
      </c>
      <c r="E75" s="17" t="s">
        <v>90</v>
      </c>
      <c r="F75" s="16" t="n">
        <f aca="false">1960/20</f>
        <v>98</v>
      </c>
      <c r="G75" s="18" t="s">
        <v>12</v>
      </c>
      <c r="H75" s="19"/>
      <c r="I75" s="20" t="n">
        <f aca="false">MROUND(H75,8)</f>
        <v>0</v>
      </c>
      <c r="J75" s="21" t="n">
        <f aca="false">I75/F75</f>
        <v>0</v>
      </c>
    </row>
    <row r="76" customFormat="false" ht="15.75" hidden="false" customHeight="true" outlineLevel="0" collapsed="false">
      <c r="A76" s="13" t="n">
        <v>9</v>
      </c>
      <c r="B76" s="22" t="s">
        <v>103</v>
      </c>
      <c r="C76" s="20" t="s">
        <v>46</v>
      </c>
      <c r="D76" s="17" t="n">
        <v>9</v>
      </c>
      <c r="E76" s="17" t="n">
        <v>8</v>
      </c>
      <c r="F76" s="16" t="n">
        <f aca="false">1440/20</f>
        <v>72</v>
      </c>
      <c r="G76" s="18" t="s">
        <v>12</v>
      </c>
      <c r="H76" s="19"/>
      <c r="I76" s="20" t="n">
        <f aca="false">MROUND(H76,D76)</f>
        <v>0</v>
      </c>
      <c r="J76" s="21" t="n">
        <f aca="false">I76/F76</f>
        <v>0</v>
      </c>
    </row>
    <row r="77" customFormat="false" ht="15.75" hidden="false" customHeight="true" outlineLevel="0" collapsed="false">
      <c r="A77" s="13" t="n">
        <v>9</v>
      </c>
      <c r="B77" s="22" t="s">
        <v>104</v>
      </c>
      <c r="C77" s="20" t="s">
        <v>46</v>
      </c>
      <c r="D77" s="17" t="s">
        <v>93</v>
      </c>
      <c r="E77" s="17" t="s">
        <v>61</v>
      </c>
      <c r="F77" s="16" t="n">
        <v>50</v>
      </c>
      <c r="G77" s="18" t="s">
        <v>12</v>
      </c>
      <c r="H77" s="19"/>
      <c r="I77" s="20" t="n">
        <f aca="false">MROUND(H77,6)</f>
        <v>0</v>
      </c>
      <c r="J77" s="21" t="n">
        <f aca="false">I77/F77</f>
        <v>0</v>
      </c>
    </row>
    <row r="78" customFormat="false" ht="15.75" hidden="false" customHeight="true" outlineLevel="0" collapsed="false">
      <c r="A78" s="13" t="n">
        <v>9</v>
      </c>
      <c r="B78" s="22" t="s">
        <v>105</v>
      </c>
      <c r="C78" s="20" t="s">
        <v>46</v>
      </c>
      <c r="D78" s="17" t="s">
        <v>95</v>
      </c>
      <c r="E78" s="17" t="s">
        <v>56</v>
      </c>
      <c r="F78" s="16" t="n">
        <v>40</v>
      </c>
      <c r="G78" s="18" t="s">
        <v>12</v>
      </c>
      <c r="H78" s="19"/>
      <c r="I78" s="20" t="n">
        <f aca="false">MROUND(H78,4)</f>
        <v>0</v>
      </c>
      <c r="J78" s="21" t="n">
        <f aca="false">I78/F78</f>
        <v>0</v>
      </c>
    </row>
    <row r="79" customFormat="false" ht="15.75" hidden="false" customHeight="true" outlineLevel="0" collapsed="false">
      <c r="A79" s="13" t="n">
        <v>9</v>
      </c>
      <c r="B79" s="22" t="s">
        <v>106</v>
      </c>
      <c r="C79" s="20" t="s">
        <v>46</v>
      </c>
      <c r="D79" s="17" t="n">
        <v>4</v>
      </c>
      <c r="E79" s="17" t="n">
        <v>8</v>
      </c>
      <c r="F79" s="16" t="n">
        <v>32</v>
      </c>
      <c r="G79" s="18" t="s">
        <v>12</v>
      </c>
      <c r="H79" s="19"/>
      <c r="I79" s="20" t="n">
        <f aca="false">MROUND(H79,D79)</f>
        <v>0</v>
      </c>
      <c r="J79" s="21" t="n">
        <f aca="false">I79/F79</f>
        <v>0</v>
      </c>
    </row>
    <row r="80" customFormat="false" ht="15.75" hidden="false" customHeight="true" outlineLevel="0" collapsed="false">
      <c r="A80" s="13" t="n">
        <v>9</v>
      </c>
      <c r="B80" s="22" t="s">
        <v>107</v>
      </c>
      <c r="C80" s="20" t="s">
        <v>46</v>
      </c>
      <c r="D80" s="17" t="n">
        <v>3</v>
      </c>
      <c r="E80" s="17" t="n">
        <v>6</v>
      </c>
      <c r="F80" s="16" t="n">
        <v>18</v>
      </c>
      <c r="G80" s="18" t="s">
        <v>12</v>
      </c>
      <c r="H80" s="19"/>
      <c r="I80" s="20" t="n">
        <f aca="false">MROUND(H80,D80)</f>
        <v>0</v>
      </c>
      <c r="J80" s="21" t="n">
        <f aca="false">I80/F80</f>
        <v>0</v>
      </c>
    </row>
    <row r="81" customFormat="false" ht="15.75" hidden="false" customHeight="true" outlineLevel="0" collapsed="false">
      <c r="A81" s="6"/>
      <c r="B81" s="7" t="s">
        <v>108</v>
      </c>
      <c r="C81" s="7"/>
      <c r="D81" s="31"/>
      <c r="E81" s="31"/>
      <c r="F81" s="31"/>
      <c r="G81" s="25"/>
      <c r="H81" s="32"/>
      <c r="I81" s="31"/>
      <c r="J81" s="33"/>
    </row>
    <row r="82" customFormat="false" ht="15.75" hidden="false" customHeight="true" outlineLevel="0" collapsed="false">
      <c r="A82" s="28" t="n">
        <v>4</v>
      </c>
      <c r="B82" s="30" t="s">
        <v>109</v>
      </c>
      <c r="C82" s="26" t="s">
        <v>46</v>
      </c>
      <c r="D82" s="23" t="n">
        <v>84</v>
      </c>
      <c r="E82" s="24" t="n">
        <v>18</v>
      </c>
      <c r="F82" s="23" t="n">
        <v>1512</v>
      </c>
      <c r="G82" s="25" t="s">
        <v>110</v>
      </c>
      <c r="H82" s="19"/>
      <c r="I82" s="26" t="n">
        <f aca="false">MROUND(H82,D82)</f>
        <v>0</v>
      </c>
      <c r="J82" s="27" t="n">
        <f aca="false">I82/F82</f>
        <v>0</v>
      </c>
    </row>
    <row r="83" customFormat="false" ht="15.75" hidden="false" customHeight="true" outlineLevel="0" collapsed="false">
      <c r="A83" s="28" t="n">
        <v>4</v>
      </c>
      <c r="B83" s="30" t="s">
        <v>111</v>
      </c>
      <c r="C83" s="26" t="s">
        <v>46</v>
      </c>
      <c r="D83" s="23" t="n">
        <v>40</v>
      </c>
      <c r="E83" s="24" t="n">
        <v>18</v>
      </c>
      <c r="F83" s="23" t="n">
        <v>720</v>
      </c>
      <c r="G83" s="25" t="s">
        <v>110</v>
      </c>
      <c r="H83" s="19"/>
      <c r="I83" s="26" t="n">
        <f aca="false">MROUND(H83,D83)</f>
        <v>0</v>
      </c>
      <c r="J83" s="27" t="n">
        <f aca="false">I83/F83</f>
        <v>0</v>
      </c>
    </row>
    <row r="84" customFormat="false" ht="15.75" hidden="false" customHeight="true" outlineLevel="0" collapsed="false">
      <c r="A84" s="28" t="n">
        <v>7</v>
      </c>
      <c r="B84" s="30" t="s">
        <v>112</v>
      </c>
      <c r="C84" s="26" t="s">
        <v>46</v>
      </c>
      <c r="D84" s="24" t="s">
        <v>113</v>
      </c>
      <c r="E84" s="24" t="s">
        <v>26</v>
      </c>
      <c r="F84" s="23" t="n">
        <v>396</v>
      </c>
      <c r="G84" s="25" t="s">
        <v>110</v>
      </c>
      <c r="H84" s="19"/>
      <c r="I84" s="26" t="n">
        <f aca="false">MROUND(H84,30)</f>
        <v>0</v>
      </c>
      <c r="J84" s="27" t="n">
        <f aca="false">I84/F84</f>
        <v>0</v>
      </c>
    </row>
    <row r="85" customFormat="false" ht="15.75" hidden="false" customHeight="true" outlineLevel="0" collapsed="false">
      <c r="A85" s="28" t="n">
        <v>7</v>
      </c>
      <c r="B85" s="30" t="s">
        <v>114</v>
      </c>
      <c r="C85" s="26" t="s">
        <v>46</v>
      </c>
      <c r="D85" s="24" t="s">
        <v>115</v>
      </c>
      <c r="E85" s="24" t="s">
        <v>116</v>
      </c>
      <c r="F85" s="23" t="n">
        <v>243</v>
      </c>
      <c r="G85" s="25" t="s">
        <v>110</v>
      </c>
      <c r="H85" s="19"/>
      <c r="I85" s="26" t="n">
        <f aca="false">MROUND(H85,12)</f>
        <v>0</v>
      </c>
      <c r="J85" s="27" t="n">
        <f aca="false">I85/F85</f>
        <v>0</v>
      </c>
    </row>
    <row r="86" customFormat="false" ht="15.75" hidden="false" customHeight="true" outlineLevel="0" collapsed="false">
      <c r="A86" s="28" t="n">
        <v>7</v>
      </c>
      <c r="B86" s="30" t="s">
        <v>117</v>
      </c>
      <c r="C86" s="26" t="s">
        <v>46</v>
      </c>
      <c r="D86" s="24" t="s">
        <v>118</v>
      </c>
      <c r="E86" s="24" t="s">
        <v>26</v>
      </c>
      <c r="F86" s="23" t="n">
        <v>168</v>
      </c>
      <c r="G86" s="25" t="s">
        <v>110</v>
      </c>
      <c r="H86" s="19"/>
      <c r="I86" s="26" t="n">
        <f aca="false">MROUND(H86,12)</f>
        <v>0</v>
      </c>
      <c r="J86" s="27" t="n">
        <f aca="false">I86/F86</f>
        <v>0</v>
      </c>
    </row>
    <row r="87" customFormat="false" ht="15.75" hidden="false" customHeight="true" outlineLevel="0" collapsed="false">
      <c r="A87" s="13" t="n">
        <v>4</v>
      </c>
      <c r="B87" s="22" t="s">
        <v>119</v>
      </c>
      <c r="C87" s="20" t="s">
        <v>46</v>
      </c>
      <c r="D87" s="16" t="n">
        <v>84</v>
      </c>
      <c r="E87" s="17" t="n">
        <v>18</v>
      </c>
      <c r="F87" s="16" t="n">
        <v>1512</v>
      </c>
      <c r="G87" s="18" t="s">
        <v>110</v>
      </c>
      <c r="H87" s="19"/>
      <c r="I87" s="20" t="n">
        <f aca="false">MROUND(H87,D87)</f>
        <v>0</v>
      </c>
      <c r="J87" s="21" t="n">
        <f aca="false">I87/F87</f>
        <v>0</v>
      </c>
    </row>
    <row r="88" customFormat="false" ht="15.75" hidden="false" customHeight="true" outlineLevel="0" collapsed="false">
      <c r="A88" s="13" t="n">
        <v>4</v>
      </c>
      <c r="B88" s="22" t="s">
        <v>120</v>
      </c>
      <c r="C88" s="20" t="s">
        <v>46</v>
      </c>
      <c r="D88" s="16" t="n">
        <v>40</v>
      </c>
      <c r="E88" s="17" t="n">
        <v>18</v>
      </c>
      <c r="F88" s="16" t="n">
        <v>720</v>
      </c>
      <c r="G88" s="18" t="s">
        <v>110</v>
      </c>
      <c r="H88" s="19"/>
      <c r="I88" s="20" t="n">
        <f aca="false">MROUND(H88,D88)</f>
        <v>0</v>
      </c>
      <c r="J88" s="21" t="n">
        <f aca="false">I88/F88</f>
        <v>0</v>
      </c>
    </row>
    <row r="89" customFormat="false" ht="15.75" hidden="false" customHeight="true" outlineLevel="0" collapsed="false">
      <c r="A89" s="13" t="n">
        <v>6</v>
      </c>
      <c r="B89" s="22" t="s">
        <v>121</v>
      </c>
      <c r="C89" s="20" t="s">
        <v>46</v>
      </c>
      <c r="D89" s="17" t="s">
        <v>113</v>
      </c>
      <c r="E89" s="17" t="s">
        <v>26</v>
      </c>
      <c r="F89" s="16" t="n">
        <v>396</v>
      </c>
      <c r="G89" s="18" t="s">
        <v>110</v>
      </c>
      <c r="H89" s="19"/>
      <c r="I89" s="20" t="n">
        <f aca="false">MROUND(H89,30)</f>
        <v>0</v>
      </c>
      <c r="J89" s="21" t="n">
        <f aca="false">I89/F89</f>
        <v>0</v>
      </c>
    </row>
    <row r="90" customFormat="false" ht="15.75" hidden="false" customHeight="true" outlineLevel="0" collapsed="false">
      <c r="A90" s="13" t="n">
        <v>9</v>
      </c>
      <c r="B90" s="22" t="s">
        <v>122</v>
      </c>
      <c r="C90" s="20" t="s">
        <v>46</v>
      </c>
      <c r="D90" s="17" t="s">
        <v>115</v>
      </c>
      <c r="E90" s="17" t="s">
        <v>116</v>
      </c>
      <c r="F90" s="16" t="n">
        <v>243</v>
      </c>
      <c r="G90" s="18" t="s">
        <v>110</v>
      </c>
      <c r="H90" s="19"/>
      <c r="I90" s="20" t="n">
        <f aca="false">MROUND(H90,12)</f>
        <v>0</v>
      </c>
      <c r="J90" s="21" t="n">
        <f aca="false">I90/F90</f>
        <v>0</v>
      </c>
    </row>
    <row r="91" customFormat="false" ht="15.75" hidden="false" customHeight="true" outlineLevel="0" collapsed="false">
      <c r="A91" s="13" t="n">
        <v>9</v>
      </c>
      <c r="B91" s="22" t="s">
        <v>123</v>
      </c>
      <c r="C91" s="20" t="s">
        <v>46</v>
      </c>
      <c r="D91" s="17" t="s">
        <v>118</v>
      </c>
      <c r="E91" s="17" t="s">
        <v>26</v>
      </c>
      <c r="F91" s="16" t="n">
        <v>168</v>
      </c>
      <c r="G91" s="18" t="s">
        <v>110</v>
      </c>
      <c r="H91" s="19"/>
      <c r="I91" s="20" t="n">
        <f aca="false">MROUND(H91,12)</f>
        <v>0</v>
      </c>
      <c r="J91" s="21" t="n">
        <f aca="false">I91/F91</f>
        <v>0</v>
      </c>
    </row>
    <row r="92" customFormat="false" ht="15.75" hidden="false" customHeight="true" outlineLevel="0" collapsed="false">
      <c r="H92" s="34"/>
      <c r="J92" s="35" t="n">
        <f aca="false">SUM(J3:J91)</f>
        <v>0</v>
      </c>
    </row>
    <row r="93" customFormat="false" ht="15.75" hidden="false" customHeight="true" outlineLevel="0" collapsed="false">
      <c r="H93" s="34"/>
    </row>
    <row r="94" customFormat="false" ht="15.75" hidden="false" customHeight="true" outlineLevel="0" collapsed="false">
      <c r="H94" s="34"/>
    </row>
    <row r="95" customFormat="false" ht="15.75" hidden="false" customHeight="true" outlineLevel="0" collapsed="false">
      <c r="H95" s="34"/>
    </row>
    <row r="96" customFormat="false" ht="15.75" hidden="false" customHeight="true" outlineLevel="0" collapsed="false">
      <c r="H96" s="34"/>
    </row>
    <row r="97" customFormat="false" ht="15.75" hidden="false" customHeight="true" outlineLevel="0" collapsed="false">
      <c r="H97" s="34"/>
    </row>
    <row r="98" customFormat="false" ht="15.75" hidden="false" customHeight="true" outlineLevel="0" collapsed="false">
      <c r="H98" s="34"/>
    </row>
    <row r="99" customFormat="false" ht="15.75" hidden="false" customHeight="true" outlineLevel="0" collapsed="false">
      <c r="H99" s="34"/>
    </row>
    <row r="100" customFormat="false" ht="15.75" hidden="false" customHeight="true" outlineLevel="0" collapsed="false">
      <c r="H100" s="34"/>
    </row>
    <row r="101" customFormat="false" ht="15.75" hidden="false" customHeight="true" outlineLevel="0" collapsed="false">
      <c r="H101" s="34"/>
    </row>
    <row r="102" customFormat="false" ht="15.75" hidden="false" customHeight="true" outlineLevel="0" collapsed="false">
      <c r="H102" s="34"/>
    </row>
    <row r="103" customFormat="false" ht="15.75" hidden="false" customHeight="true" outlineLevel="0" collapsed="false">
      <c r="H103" s="34"/>
    </row>
    <row r="104" customFormat="false" ht="15.75" hidden="false" customHeight="true" outlineLevel="0" collapsed="false">
      <c r="H104" s="34"/>
    </row>
    <row r="105" customFormat="false" ht="15.75" hidden="false" customHeight="true" outlineLevel="0" collapsed="false">
      <c r="H105" s="34"/>
    </row>
    <row r="106" customFormat="false" ht="15.75" hidden="false" customHeight="true" outlineLevel="0" collapsed="false">
      <c r="H106" s="34"/>
    </row>
    <row r="107" customFormat="false" ht="15.75" hidden="false" customHeight="true" outlineLevel="0" collapsed="false">
      <c r="H107" s="34"/>
    </row>
    <row r="108" customFormat="false" ht="15.75" hidden="false" customHeight="true" outlineLevel="0" collapsed="false">
      <c r="H108" s="34"/>
    </row>
    <row r="109" customFormat="false" ht="15.75" hidden="false" customHeight="true" outlineLevel="0" collapsed="false">
      <c r="H109" s="34"/>
    </row>
    <row r="110" customFormat="false" ht="15.75" hidden="false" customHeight="true" outlineLevel="0" collapsed="false">
      <c r="H110" s="34"/>
    </row>
    <row r="111" customFormat="false" ht="15.75" hidden="false" customHeight="true" outlineLevel="0" collapsed="false">
      <c r="H111" s="34"/>
    </row>
    <row r="112" customFormat="false" ht="15.75" hidden="false" customHeight="true" outlineLevel="0" collapsed="false">
      <c r="H112" s="34"/>
    </row>
    <row r="113" customFormat="false" ht="15.75" hidden="false" customHeight="true" outlineLevel="0" collapsed="false">
      <c r="H113" s="34"/>
    </row>
    <row r="114" customFormat="false" ht="15.75" hidden="false" customHeight="true" outlineLevel="0" collapsed="false">
      <c r="H114" s="34"/>
    </row>
    <row r="115" customFormat="false" ht="15.75" hidden="false" customHeight="true" outlineLevel="0" collapsed="false">
      <c r="H115" s="34"/>
    </row>
    <row r="116" customFormat="false" ht="15.75" hidden="false" customHeight="true" outlineLevel="0" collapsed="false">
      <c r="H116" s="34"/>
    </row>
    <row r="117" customFormat="false" ht="15.75" hidden="false" customHeight="true" outlineLevel="0" collapsed="false">
      <c r="H117" s="34"/>
    </row>
    <row r="118" customFormat="false" ht="15.75" hidden="false" customHeight="true" outlineLevel="0" collapsed="false">
      <c r="H118" s="34"/>
    </row>
    <row r="119" customFormat="false" ht="15.75" hidden="false" customHeight="true" outlineLevel="0" collapsed="false">
      <c r="H119" s="34"/>
    </row>
    <row r="120" customFormat="false" ht="15.75" hidden="false" customHeight="true" outlineLevel="0" collapsed="false">
      <c r="H120" s="34"/>
    </row>
    <row r="121" customFormat="false" ht="15.75" hidden="false" customHeight="true" outlineLevel="0" collapsed="false">
      <c r="H121" s="34"/>
    </row>
    <row r="122" customFormat="false" ht="15.75" hidden="false" customHeight="true" outlineLevel="0" collapsed="false">
      <c r="H122" s="34"/>
    </row>
    <row r="123" customFormat="false" ht="15.75" hidden="false" customHeight="true" outlineLevel="0" collapsed="false">
      <c r="H123" s="34"/>
    </row>
    <row r="124" customFormat="false" ht="15.75" hidden="false" customHeight="true" outlineLevel="0" collapsed="false">
      <c r="H124" s="34"/>
    </row>
    <row r="125" customFormat="false" ht="15.75" hidden="false" customHeight="true" outlineLevel="0" collapsed="false">
      <c r="H125" s="34"/>
    </row>
    <row r="126" customFormat="false" ht="15.75" hidden="false" customHeight="true" outlineLevel="0" collapsed="false">
      <c r="H126" s="34"/>
    </row>
    <row r="127" customFormat="false" ht="15.75" hidden="false" customHeight="true" outlineLevel="0" collapsed="false">
      <c r="H127" s="34"/>
    </row>
    <row r="128" customFormat="false" ht="15.75" hidden="false" customHeight="true" outlineLevel="0" collapsed="false">
      <c r="H128" s="34"/>
    </row>
    <row r="129" customFormat="false" ht="15.75" hidden="false" customHeight="true" outlineLevel="0" collapsed="false">
      <c r="H129" s="34"/>
    </row>
    <row r="130" customFormat="false" ht="15.75" hidden="false" customHeight="true" outlineLevel="0" collapsed="false">
      <c r="H130" s="34"/>
    </row>
    <row r="131" customFormat="false" ht="15.75" hidden="false" customHeight="true" outlineLevel="0" collapsed="false">
      <c r="H131" s="34"/>
    </row>
    <row r="132" customFormat="false" ht="15.75" hidden="false" customHeight="true" outlineLevel="0" collapsed="false">
      <c r="H132" s="34"/>
    </row>
    <row r="133" customFormat="false" ht="15.75" hidden="false" customHeight="true" outlineLevel="0" collapsed="false">
      <c r="H133" s="34"/>
    </row>
    <row r="134" customFormat="false" ht="15.75" hidden="false" customHeight="true" outlineLevel="0" collapsed="false">
      <c r="H134" s="34"/>
    </row>
    <row r="135" customFormat="false" ht="15.75" hidden="false" customHeight="true" outlineLevel="0" collapsed="false">
      <c r="H135" s="34"/>
    </row>
    <row r="136" customFormat="false" ht="15.75" hidden="false" customHeight="true" outlineLevel="0" collapsed="false">
      <c r="H136" s="34"/>
    </row>
    <row r="137" customFormat="false" ht="15.75" hidden="false" customHeight="true" outlineLevel="0" collapsed="false">
      <c r="H137" s="34"/>
    </row>
    <row r="138" customFormat="false" ht="15.75" hidden="false" customHeight="true" outlineLevel="0" collapsed="false">
      <c r="H138" s="34"/>
    </row>
    <row r="139" customFormat="false" ht="15.75" hidden="false" customHeight="true" outlineLevel="0" collapsed="false">
      <c r="H139" s="34"/>
    </row>
    <row r="140" customFormat="false" ht="15.75" hidden="false" customHeight="true" outlineLevel="0" collapsed="false">
      <c r="H140" s="34"/>
    </row>
    <row r="141" customFormat="false" ht="15.75" hidden="false" customHeight="true" outlineLevel="0" collapsed="false">
      <c r="H141" s="34"/>
    </row>
    <row r="142" customFormat="false" ht="15.75" hidden="false" customHeight="true" outlineLevel="0" collapsed="false">
      <c r="H142" s="34"/>
    </row>
    <row r="143" customFormat="false" ht="15.75" hidden="false" customHeight="true" outlineLevel="0" collapsed="false">
      <c r="H143" s="34"/>
    </row>
    <row r="144" customFormat="false" ht="15.75" hidden="false" customHeight="true" outlineLevel="0" collapsed="false">
      <c r="H144" s="34"/>
    </row>
    <row r="145" customFormat="false" ht="15.75" hidden="false" customHeight="true" outlineLevel="0" collapsed="false">
      <c r="H145" s="34"/>
    </row>
    <row r="146" customFormat="false" ht="15.75" hidden="false" customHeight="true" outlineLevel="0" collapsed="false">
      <c r="H146" s="34"/>
    </row>
    <row r="147" customFormat="false" ht="15.75" hidden="false" customHeight="true" outlineLevel="0" collapsed="false">
      <c r="H147" s="34"/>
    </row>
    <row r="148" customFormat="false" ht="15.75" hidden="false" customHeight="true" outlineLevel="0" collapsed="false">
      <c r="H148" s="34"/>
    </row>
    <row r="149" customFormat="false" ht="15.75" hidden="false" customHeight="true" outlineLevel="0" collapsed="false">
      <c r="H149" s="34"/>
    </row>
    <row r="150" customFormat="false" ht="15.75" hidden="false" customHeight="true" outlineLevel="0" collapsed="false">
      <c r="H150" s="34"/>
    </row>
    <row r="151" customFormat="false" ht="15.75" hidden="false" customHeight="true" outlineLevel="0" collapsed="false">
      <c r="H151" s="34"/>
    </row>
    <row r="152" customFormat="false" ht="15.75" hidden="false" customHeight="true" outlineLevel="0" collapsed="false">
      <c r="H152" s="34"/>
    </row>
    <row r="153" customFormat="false" ht="15.75" hidden="false" customHeight="true" outlineLevel="0" collapsed="false">
      <c r="H153" s="34"/>
    </row>
    <row r="154" customFormat="false" ht="15.75" hidden="false" customHeight="true" outlineLevel="0" collapsed="false">
      <c r="H154" s="34"/>
    </row>
    <row r="155" customFormat="false" ht="15.75" hidden="false" customHeight="true" outlineLevel="0" collapsed="false">
      <c r="H155" s="34"/>
    </row>
    <row r="156" customFormat="false" ht="15.75" hidden="false" customHeight="true" outlineLevel="0" collapsed="false">
      <c r="H156" s="34"/>
    </row>
    <row r="157" customFormat="false" ht="15.75" hidden="false" customHeight="true" outlineLevel="0" collapsed="false">
      <c r="H157" s="34"/>
    </row>
    <row r="158" customFormat="false" ht="15.75" hidden="false" customHeight="true" outlineLevel="0" collapsed="false">
      <c r="H158" s="34"/>
    </row>
    <row r="159" customFormat="false" ht="15.75" hidden="false" customHeight="true" outlineLevel="0" collapsed="false">
      <c r="H159" s="34"/>
    </row>
    <row r="160" customFormat="false" ht="15.75" hidden="false" customHeight="true" outlineLevel="0" collapsed="false">
      <c r="H160" s="34"/>
    </row>
    <row r="161" customFormat="false" ht="15.75" hidden="false" customHeight="true" outlineLevel="0" collapsed="false">
      <c r="H161" s="34"/>
    </row>
    <row r="162" customFormat="false" ht="15.75" hidden="false" customHeight="true" outlineLevel="0" collapsed="false">
      <c r="H162" s="34"/>
    </row>
    <row r="163" customFormat="false" ht="15.75" hidden="false" customHeight="true" outlineLevel="0" collapsed="false">
      <c r="H163" s="34"/>
    </row>
    <row r="164" customFormat="false" ht="15.75" hidden="false" customHeight="true" outlineLevel="0" collapsed="false">
      <c r="H164" s="34"/>
    </row>
    <row r="165" customFormat="false" ht="15.75" hidden="false" customHeight="true" outlineLevel="0" collapsed="false">
      <c r="H165" s="34"/>
    </row>
    <row r="166" customFormat="false" ht="15.75" hidden="false" customHeight="true" outlineLevel="0" collapsed="false">
      <c r="H166" s="34"/>
    </row>
    <row r="167" customFormat="false" ht="15.75" hidden="false" customHeight="true" outlineLevel="0" collapsed="false">
      <c r="H167" s="34"/>
    </row>
    <row r="168" customFormat="false" ht="15.75" hidden="false" customHeight="true" outlineLevel="0" collapsed="false">
      <c r="H168" s="34"/>
    </row>
    <row r="169" customFormat="false" ht="15.75" hidden="false" customHeight="true" outlineLevel="0" collapsed="false">
      <c r="H169" s="34"/>
    </row>
    <row r="170" customFormat="false" ht="15.75" hidden="false" customHeight="true" outlineLevel="0" collapsed="false">
      <c r="H170" s="34"/>
    </row>
    <row r="171" customFormat="false" ht="15.75" hidden="false" customHeight="true" outlineLevel="0" collapsed="false">
      <c r="H171" s="34"/>
    </row>
    <row r="172" customFormat="false" ht="15.75" hidden="false" customHeight="true" outlineLevel="0" collapsed="false">
      <c r="H172" s="34"/>
    </row>
    <row r="173" customFormat="false" ht="15.75" hidden="false" customHeight="true" outlineLevel="0" collapsed="false">
      <c r="H173" s="34"/>
    </row>
    <row r="174" customFormat="false" ht="15.75" hidden="false" customHeight="true" outlineLevel="0" collapsed="false">
      <c r="H174" s="34"/>
    </row>
    <row r="175" customFormat="false" ht="15.75" hidden="false" customHeight="true" outlineLevel="0" collapsed="false">
      <c r="H175" s="34"/>
    </row>
    <row r="176" customFormat="false" ht="15.75" hidden="false" customHeight="true" outlineLevel="0" collapsed="false">
      <c r="H176" s="34"/>
    </row>
    <row r="177" customFormat="false" ht="15.75" hidden="false" customHeight="true" outlineLevel="0" collapsed="false">
      <c r="H177" s="34"/>
    </row>
    <row r="178" customFormat="false" ht="15.75" hidden="false" customHeight="true" outlineLevel="0" collapsed="false">
      <c r="H178" s="34"/>
    </row>
    <row r="179" customFormat="false" ht="15.75" hidden="false" customHeight="true" outlineLevel="0" collapsed="false">
      <c r="H179" s="34"/>
    </row>
    <row r="180" customFormat="false" ht="15.75" hidden="false" customHeight="true" outlineLevel="0" collapsed="false">
      <c r="H180" s="34"/>
    </row>
    <row r="181" customFormat="false" ht="15.75" hidden="false" customHeight="true" outlineLevel="0" collapsed="false">
      <c r="H181" s="34"/>
    </row>
    <row r="182" customFormat="false" ht="15.75" hidden="false" customHeight="true" outlineLevel="0" collapsed="false">
      <c r="H182" s="34"/>
    </row>
    <row r="183" customFormat="false" ht="15.75" hidden="false" customHeight="true" outlineLevel="0" collapsed="false">
      <c r="H183" s="34"/>
    </row>
    <row r="184" customFormat="false" ht="15.75" hidden="false" customHeight="true" outlineLevel="0" collapsed="false">
      <c r="H184" s="34"/>
    </row>
    <row r="185" customFormat="false" ht="15.75" hidden="false" customHeight="true" outlineLevel="0" collapsed="false">
      <c r="H185" s="34"/>
    </row>
    <row r="186" customFormat="false" ht="15.75" hidden="false" customHeight="true" outlineLevel="0" collapsed="false">
      <c r="H186" s="34"/>
    </row>
    <row r="187" customFormat="false" ht="15.75" hidden="false" customHeight="true" outlineLevel="0" collapsed="false">
      <c r="H187" s="34"/>
    </row>
    <row r="188" customFormat="false" ht="15.75" hidden="false" customHeight="true" outlineLevel="0" collapsed="false">
      <c r="H188" s="34"/>
    </row>
    <row r="189" customFormat="false" ht="15.75" hidden="false" customHeight="true" outlineLevel="0" collapsed="false">
      <c r="H189" s="34"/>
    </row>
    <row r="190" customFormat="false" ht="15.75" hidden="false" customHeight="true" outlineLevel="0" collapsed="false">
      <c r="H190" s="34"/>
    </row>
    <row r="191" customFormat="false" ht="15.75" hidden="false" customHeight="true" outlineLevel="0" collapsed="false">
      <c r="H191" s="34"/>
    </row>
    <row r="192" customFormat="false" ht="15.75" hidden="false" customHeight="true" outlineLevel="0" collapsed="false">
      <c r="H192" s="34"/>
    </row>
    <row r="193" customFormat="false" ht="15.75" hidden="false" customHeight="true" outlineLevel="0" collapsed="false">
      <c r="H193" s="34"/>
    </row>
    <row r="194" customFormat="false" ht="15.75" hidden="false" customHeight="true" outlineLevel="0" collapsed="false">
      <c r="H194" s="34"/>
    </row>
    <row r="195" customFormat="false" ht="15.75" hidden="false" customHeight="true" outlineLevel="0" collapsed="false">
      <c r="H195" s="34"/>
    </row>
    <row r="196" customFormat="false" ht="15.75" hidden="false" customHeight="true" outlineLevel="0" collapsed="false">
      <c r="H196" s="34"/>
    </row>
    <row r="197" customFormat="false" ht="15.75" hidden="false" customHeight="true" outlineLevel="0" collapsed="false">
      <c r="H197" s="34"/>
    </row>
    <row r="198" customFormat="false" ht="15.75" hidden="false" customHeight="true" outlineLevel="0" collapsed="false">
      <c r="H198" s="34"/>
    </row>
    <row r="199" customFormat="false" ht="15.75" hidden="false" customHeight="true" outlineLevel="0" collapsed="false">
      <c r="H199" s="34"/>
    </row>
    <row r="200" customFormat="false" ht="15.75" hidden="false" customHeight="true" outlineLevel="0" collapsed="false">
      <c r="H200" s="34"/>
    </row>
    <row r="201" customFormat="false" ht="15.75" hidden="false" customHeight="true" outlineLevel="0" collapsed="false">
      <c r="H201" s="34"/>
    </row>
    <row r="202" customFormat="false" ht="15.75" hidden="false" customHeight="true" outlineLevel="0" collapsed="false">
      <c r="H202" s="34"/>
    </row>
    <row r="203" customFormat="false" ht="15.75" hidden="false" customHeight="true" outlineLevel="0" collapsed="false">
      <c r="H203" s="34"/>
    </row>
    <row r="204" customFormat="false" ht="15.75" hidden="false" customHeight="true" outlineLevel="0" collapsed="false">
      <c r="H204" s="34"/>
    </row>
    <row r="205" customFormat="false" ht="15.75" hidden="false" customHeight="true" outlineLevel="0" collapsed="false">
      <c r="H205" s="34"/>
    </row>
    <row r="206" customFormat="false" ht="15.75" hidden="false" customHeight="true" outlineLevel="0" collapsed="false">
      <c r="H206" s="34"/>
    </row>
    <row r="207" customFormat="false" ht="15.75" hidden="false" customHeight="true" outlineLevel="0" collapsed="false">
      <c r="H207" s="34"/>
    </row>
    <row r="208" customFormat="false" ht="15.75" hidden="false" customHeight="true" outlineLevel="0" collapsed="false">
      <c r="H208" s="34"/>
    </row>
    <row r="209" customFormat="false" ht="15.75" hidden="false" customHeight="true" outlineLevel="0" collapsed="false">
      <c r="H209" s="34"/>
    </row>
    <row r="210" customFormat="false" ht="15.75" hidden="false" customHeight="true" outlineLevel="0" collapsed="false">
      <c r="H210" s="34"/>
    </row>
    <row r="211" customFormat="false" ht="15.75" hidden="false" customHeight="true" outlineLevel="0" collapsed="false">
      <c r="H211" s="34"/>
    </row>
    <row r="212" customFormat="false" ht="15.75" hidden="false" customHeight="true" outlineLevel="0" collapsed="false">
      <c r="H212" s="34"/>
    </row>
    <row r="213" customFormat="false" ht="15.75" hidden="false" customHeight="true" outlineLevel="0" collapsed="false">
      <c r="H213" s="34"/>
    </row>
    <row r="214" customFormat="false" ht="15.75" hidden="false" customHeight="true" outlineLevel="0" collapsed="false">
      <c r="H214" s="34"/>
    </row>
    <row r="215" customFormat="false" ht="15.75" hidden="false" customHeight="true" outlineLevel="0" collapsed="false">
      <c r="H215" s="34"/>
    </row>
    <row r="216" customFormat="false" ht="15.75" hidden="false" customHeight="true" outlineLevel="0" collapsed="false">
      <c r="H216" s="34"/>
    </row>
    <row r="217" customFormat="false" ht="15.75" hidden="false" customHeight="true" outlineLevel="0" collapsed="false">
      <c r="H217" s="34"/>
    </row>
    <row r="218" customFormat="false" ht="15.75" hidden="false" customHeight="true" outlineLevel="0" collapsed="false">
      <c r="H218" s="34"/>
    </row>
    <row r="219" customFormat="false" ht="15.75" hidden="false" customHeight="true" outlineLevel="0" collapsed="false">
      <c r="H219" s="34"/>
    </row>
    <row r="220" customFormat="false" ht="15.75" hidden="false" customHeight="true" outlineLevel="0" collapsed="false">
      <c r="H220" s="34"/>
    </row>
    <row r="221" customFormat="false" ht="15.75" hidden="false" customHeight="true" outlineLevel="0" collapsed="false">
      <c r="H221" s="34"/>
    </row>
    <row r="222" customFormat="false" ht="15.75" hidden="false" customHeight="true" outlineLevel="0" collapsed="false">
      <c r="H222" s="34"/>
    </row>
    <row r="223" customFormat="false" ht="15.75" hidden="false" customHeight="true" outlineLevel="0" collapsed="false">
      <c r="H223" s="34"/>
    </row>
    <row r="224" customFormat="false" ht="15.75" hidden="false" customHeight="true" outlineLevel="0" collapsed="false">
      <c r="H224" s="34"/>
    </row>
    <row r="225" customFormat="false" ht="15.75" hidden="false" customHeight="true" outlineLevel="0" collapsed="false">
      <c r="H225" s="34"/>
    </row>
    <row r="226" customFormat="false" ht="15.75" hidden="false" customHeight="true" outlineLevel="0" collapsed="false">
      <c r="H226" s="34"/>
    </row>
    <row r="227" customFormat="false" ht="15.75" hidden="false" customHeight="true" outlineLevel="0" collapsed="false">
      <c r="H227" s="34"/>
    </row>
    <row r="228" customFormat="false" ht="15.75" hidden="false" customHeight="true" outlineLevel="0" collapsed="false">
      <c r="H228" s="34"/>
    </row>
    <row r="229" customFormat="false" ht="15.75" hidden="false" customHeight="true" outlineLevel="0" collapsed="false">
      <c r="H229" s="34"/>
    </row>
    <row r="230" customFormat="false" ht="15.75" hidden="false" customHeight="true" outlineLevel="0" collapsed="false">
      <c r="H230" s="34"/>
    </row>
    <row r="231" customFormat="false" ht="15.75" hidden="false" customHeight="true" outlineLevel="0" collapsed="false">
      <c r="H231" s="34"/>
    </row>
    <row r="232" customFormat="false" ht="15.75" hidden="false" customHeight="true" outlineLevel="0" collapsed="false">
      <c r="H232" s="34"/>
    </row>
    <row r="233" customFormat="false" ht="15.75" hidden="false" customHeight="true" outlineLevel="0" collapsed="false">
      <c r="H233" s="34"/>
    </row>
    <row r="234" customFormat="false" ht="15.75" hidden="false" customHeight="true" outlineLevel="0" collapsed="false">
      <c r="H234" s="34"/>
    </row>
    <row r="235" customFormat="false" ht="15.75" hidden="false" customHeight="true" outlineLevel="0" collapsed="false">
      <c r="H235" s="34"/>
    </row>
    <row r="236" customFormat="false" ht="15.75" hidden="false" customHeight="true" outlineLevel="0" collapsed="false">
      <c r="H236" s="34"/>
    </row>
    <row r="237" customFormat="false" ht="15.75" hidden="false" customHeight="true" outlineLevel="0" collapsed="false">
      <c r="H237" s="34"/>
    </row>
    <row r="238" customFormat="false" ht="15.75" hidden="false" customHeight="true" outlineLevel="0" collapsed="false">
      <c r="H238" s="34"/>
    </row>
    <row r="239" customFormat="false" ht="15.75" hidden="false" customHeight="true" outlineLevel="0" collapsed="false">
      <c r="H239" s="34"/>
    </row>
    <row r="240" customFormat="false" ht="15.75" hidden="false" customHeight="true" outlineLevel="0" collapsed="false">
      <c r="H240" s="34"/>
    </row>
    <row r="241" customFormat="false" ht="15.75" hidden="false" customHeight="true" outlineLevel="0" collapsed="false">
      <c r="H241" s="34"/>
    </row>
    <row r="242" customFormat="false" ht="15.75" hidden="false" customHeight="true" outlineLevel="0" collapsed="false">
      <c r="H242" s="34"/>
    </row>
    <row r="243" customFormat="false" ht="15.75" hidden="false" customHeight="true" outlineLevel="0" collapsed="false">
      <c r="H243" s="34"/>
    </row>
    <row r="244" customFormat="false" ht="15.75" hidden="false" customHeight="true" outlineLevel="0" collapsed="false">
      <c r="H244" s="34"/>
    </row>
    <row r="245" customFormat="false" ht="15.75" hidden="false" customHeight="true" outlineLevel="0" collapsed="false">
      <c r="H245" s="34"/>
    </row>
    <row r="246" customFormat="false" ht="15.75" hidden="false" customHeight="true" outlineLevel="0" collapsed="false">
      <c r="H246" s="34"/>
    </row>
    <row r="247" customFormat="false" ht="15.75" hidden="false" customHeight="true" outlineLevel="0" collapsed="false">
      <c r="H247" s="34"/>
    </row>
    <row r="248" customFormat="false" ht="15.75" hidden="false" customHeight="true" outlineLevel="0" collapsed="false">
      <c r="H248" s="34"/>
    </row>
    <row r="249" customFormat="false" ht="15.75" hidden="false" customHeight="true" outlineLevel="0" collapsed="false">
      <c r="H249" s="34"/>
    </row>
    <row r="250" customFormat="false" ht="15.75" hidden="false" customHeight="true" outlineLevel="0" collapsed="false">
      <c r="H250" s="34"/>
    </row>
    <row r="251" customFormat="false" ht="15.75" hidden="false" customHeight="true" outlineLevel="0" collapsed="false">
      <c r="H251" s="34"/>
    </row>
    <row r="252" customFormat="false" ht="15.75" hidden="false" customHeight="true" outlineLevel="0" collapsed="false">
      <c r="H252" s="34"/>
    </row>
    <row r="253" customFormat="false" ht="15.75" hidden="false" customHeight="true" outlineLevel="0" collapsed="false">
      <c r="H253" s="34"/>
    </row>
    <row r="254" customFormat="false" ht="15.75" hidden="false" customHeight="true" outlineLevel="0" collapsed="false">
      <c r="H254" s="34"/>
    </row>
    <row r="255" customFormat="false" ht="15.75" hidden="false" customHeight="true" outlineLevel="0" collapsed="false">
      <c r="H255" s="34"/>
    </row>
    <row r="256" customFormat="false" ht="15.75" hidden="false" customHeight="true" outlineLevel="0" collapsed="false">
      <c r="H256" s="34"/>
    </row>
    <row r="257" customFormat="false" ht="15.75" hidden="false" customHeight="true" outlineLevel="0" collapsed="false">
      <c r="H257" s="34"/>
    </row>
    <row r="258" customFormat="false" ht="15.75" hidden="false" customHeight="true" outlineLevel="0" collapsed="false">
      <c r="H258" s="34"/>
    </row>
    <row r="259" customFormat="false" ht="15.75" hidden="false" customHeight="true" outlineLevel="0" collapsed="false">
      <c r="H259" s="34"/>
    </row>
    <row r="260" customFormat="false" ht="15.75" hidden="false" customHeight="true" outlineLevel="0" collapsed="false">
      <c r="H260" s="34"/>
    </row>
    <row r="261" customFormat="false" ht="15.75" hidden="false" customHeight="true" outlineLevel="0" collapsed="false">
      <c r="H261" s="34"/>
    </row>
    <row r="262" customFormat="false" ht="15.75" hidden="false" customHeight="true" outlineLevel="0" collapsed="false">
      <c r="H262" s="34"/>
    </row>
    <row r="263" customFormat="false" ht="15.75" hidden="false" customHeight="true" outlineLevel="0" collapsed="false">
      <c r="H263" s="34"/>
    </row>
    <row r="264" customFormat="false" ht="15.75" hidden="false" customHeight="true" outlineLevel="0" collapsed="false">
      <c r="H264" s="34"/>
    </row>
    <row r="265" customFormat="false" ht="15.75" hidden="false" customHeight="true" outlineLevel="0" collapsed="false">
      <c r="H265" s="34"/>
    </row>
    <row r="266" customFormat="false" ht="15.75" hidden="false" customHeight="true" outlineLevel="0" collapsed="false">
      <c r="H266" s="34"/>
    </row>
    <row r="267" customFormat="false" ht="15.75" hidden="false" customHeight="true" outlineLevel="0" collapsed="false">
      <c r="H267" s="34"/>
    </row>
    <row r="268" customFormat="false" ht="15.75" hidden="false" customHeight="true" outlineLevel="0" collapsed="false">
      <c r="H268" s="34"/>
    </row>
    <row r="269" customFormat="false" ht="15.75" hidden="false" customHeight="true" outlineLevel="0" collapsed="false">
      <c r="H269" s="34"/>
    </row>
    <row r="270" customFormat="false" ht="15.75" hidden="false" customHeight="true" outlineLevel="0" collapsed="false">
      <c r="H270" s="34"/>
    </row>
    <row r="271" customFormat="false" ht="15.75" hidden="false" customHeight="true" outlineLevel="0" collapsed="false">
      <c r="H271" s="34"/>
    </row>
    <row r="272" customFormat="false" ht="15.75" hidden="false" customHeight="true" outlineLevel="0" collapsed="false">
      <c r="H272" s="34"/>
    </row>
    <row r="273" customFormat="false" ht="15.75" hidden="false" customHeight="true" outlineLevel="0" collapsed="false">
      <c r="H273" s="34"/>
    </row>
    <row r="274" customFormat="false" ht="15.75" hidden="false" customHeight="true" outlineLevel="0" collapsed="false">
      <c r="H274" s="34"/>
    </row>
    <row r="275" customFormat="false" ht="15.75" hidden="false" customHeight="true" outlineLevel="0" collapsed="false">
      <c r="H275" s="34"/>
    </row>
    <row r="276" customFormat="false" ht="15.75" hidden="false" customHeight="true" outlineLevel="0" collapsed="false">
      <c r="H276" s="34"/>
    </row>
    <row r="277" customFormat="false" ht="15.75" hidden="false" customHeight="true" outlineLevel="0" collapsed="false">
      <c r="H277" s="34"/>
    </row>
    <row r="278" customFormat="false" ht="15.75" hidden="false" customHeight="true" outlineLevel="0" collapsed="false">
      <c r="H278" s="34"/>
    </row>
    <row r="279" customFormat="false" ht="15.75" hidden="false" customHeight="true" outlineLevel="0" collapsed="false">
      <c r="H279" s="34"/>
    </row>
    <row r="280" customFormat="false" ht="15.75" hidden="false" customHeight="true" outlineLevel="0" collapsed="false">
      <c r="H280" s="34"/>
    </row>
    <row r="281" customFormat="false" ht="15.75" hidden="false" customHeight="true" outlineLevel="0" collapsed="false">
      <c r="H281" s="34"/>
    </row>
    <row r="282" customFormat="false" ht="15.75" hidden="false" customHeight="true" outlineLevel="0" collapsed="false">
      <c r="H282" s="34"/>
    </row>
    <row r="283" customFormat="false" ht="15.75" hidden="false" customHeight="true" outlineLevel="0" collapsed="false">
      <c r="H283" s="34"/>
    </row>
    <row r="284" customFormat="false" ht="15.75" hidden="false" customHeight="true" outlineLevel="0" collapsed="false">
      <c r="H284" s="34"/>
    </row>
    <row r="285" customFormat="false" ht="15.75" hidden="false" customHeight="true" outlineLevel="0" collapsed="false">
      <c r="H285" s="34"/>
    </row>
    <row r="286" customFormat="false" ht="15.75" hidden="false" customHeight="true" outlineLevel="0" collapsed="false">
      <c r="H286" s="34"/>
    </row>
    <row r="287" customFormat="false" ht="15.75" hidden="false" customHeight="true" outlineLevel="0" collapsed="false">
      <c r="H287" s="34"/>
    </row>
    <row r="288" customFormat="false" ht="15.75" hidden="false" customHeight="true" outlineLevel="0" collapsed="false">
      <c r="H288" s="34"/>
    </row>
    <row r="289" customFormat="false" ht="15.75" hidden="false" customHeight="true" outlineLevel="0" collapsed="false">
      <c r="H289" s="34"/>
    </row>
    <row r="290" customFormat="false" ht="15.75" hidden="false" customHeight="true" outlineLevel="0" collapsed="false">
      <c r="H290" s="34"/>
    </row>
    <row r="291" customFormat="false" ht="15.75" hidden="false" customHeight="true" outlineLevel="0" collapsed="false">
      <c r="H291" s="34"/>
    </row>
    <row r="292" customFormat="false" ht="15.75" hidden="false" customHeight="true" outlineLevel="0" collapsed="false">
      <c r="H292" s="34"/>
    </row>
    <row r="293" customFormat="false" ht="15.75" hidden="false" customHeight="true" outlineLevel="0" collapsed="false">
      <c r="H293" s="34"/>
    </row>
    <row r="294" customFormat="false" ht="15.75" hidden="false" customHeight="true" outlineLevel="0" collapsed="false">
      <c r="H294" s="34"/>
    </row>
    <row r="295" customFormat="false" ht="15.75" hidden="false" customHeight="true" outlineLevel="0" collapsed="false">
      <c r="H295" s="34"/>
    </row>
    <row r="296" customFormat="false" ht="15.75" hidden="false" customHeight="true" outlineLevel="0" collapsed="false">
      <c r="H296" s="34"/>
    </row>
    <row r="297" customFormat="false" ht="15.75" hidden="false" customHeight="true" outlineLevel="0" collapsed="false">
      <c r="H297" s="34"/>
    </row>
    <row r="298" customFormat="false" ht="15.75" hidden="false" customHeight="true" outlineLevel="0" collapsed="false">
      <c r="H298" s="34"/>
    </row>
    <row r="299" customFormat="false" ht="15.75" hidden="false" customHeight="true" outlineLevel="0" collapsed="false">
      <c r="H299" s="34"/>
    </row>
    <row r="300" customFormat="false" ht="15.75" hidden="false" customHeight="true" outlineLevel="0" collapsed="false">
      <c r="H300" s="34"/>
    </row>
    <row r="301" customFormat="false" ht="15.75" hidden="false" customHeight="true" outlineLevel="0" collapsed="false">
      <c r="H301" s="34"/>
    </row>
    <row r="302" customFormat="false" ht="15.75" hidden="false" customHeight="true" outlineLevel="0" collapsed="false">
      <c r="H302" s="34"/>
    </row>
    <row r="303" customFormat="false" ht="15.75" hidden="false" customHeight="true" outlineLevel="0" collapsed="false">
      <c r="H303" s="34"/>
    </row>
    <row r="304" customFormat="false" ht="15.75" hidden="false" customHeight="true" outlineLevel="0" collapsed="false">
      <c r="H304" s="34"/>
    </row>
    <row r="305" customFormat="false" ht="15.75" hidden="false" customHeight="true" outlineLevel="0" collapsed="false">
      <c r="H305" s="34"/>
    </row>
    <row r="306" customFormat="false" ht="15.75" hidden="false" customHeight="true" outlineLevel="0" collapsed="false">
      <c r="H306" s="34"/>
    </row>
    <row r="307" customFormat="false" ht="15.75" hidden="false" customHeight="true" outlineLevel="0" collapsed="false">
      <c r="H307" s="34"/>
    </row>
    <row r="308" customFormat="false" ht="15.75" hidden="false" customHeight="true" outlineLevel="0" collapsed="false">
      <c r="H308" s="34"/>
    </row>
    <row r="309" customFormat="false" ht="15.75" hidden="false" customHeight="true" outlineLevel="0" collapsed="false">
      <c r="H309" s="34"/>
    </row>
    <row r="310" customFormat="false" ht="15.75" hidden="false" customHeight="true" outlineLevel="0" collapsed="false">
      <c r="H310" s="34"/>
    </row>
    <row r="311" customFormat="false" ht="15.75" hidden="false" customHeight="true" outlineLevel="0" collapsed="false">
      <c r="H311" s="34"/>
    </row>
    <row r="312" customFormat="false" ht="15.75" hidden="false" customHeight="true" outlineLevel="0" collapsed="false">
      <c r="H312" s="34"/>
    </row>
    <row r="313" customFormat="false" ht="15.75" hidden="false" customHeight="true" outlineLevel="0" collapsed="false">
      <c r="H313" s="34"/>
    </row>
    <row r="314" customFormat="false" ht="15.75" hidden="false" customHeight="true" outlineLevel="0" collapsed="false">
      <c r="H314" s="34"/>
    </row>
    <row r="315" customFormat="false" ht="15.75" hidden="false" customHeight="true" outlineLevel="0" collapsed="false">
      <c r="H315" s="34"/>
    </row>
    <row r="316" customFormat="false" ht="15.75" hidden="false" customHeight="true" outlineLevel="0" collapsed="false">
      <c r="H316" s="34"/>
    </row>
    <row r="317" customFormat="false" ht="15.75" hidden="false" customHeight="true" outlineLevel="0" collapsed="false">
      <c r="H317" s="34"/>
    </row>
    <row r="318" customFormat="false" ht="15.75" hidden="false" customHeight="true" outlineLevel="0" collapsed="false">
      <c r="H318" s="34"/>
    </row>
    <row r="319" customFormat="false" ht="15.75" hidden="false" customHeight="true" outlineLevel="0" collapsed="false">
      <c r="H319" s="34"/>
    </row>
    <row r="320" customFormat="false" ht="15.75" hidden="false" customHeight="true" outlineLevel="0" collapsed="false">
      <c r="H320" s="34"/>
    </row>
    <row r="321" customFormat="false" ht="15.75" hidden="false" customHeight="true" outlineLevel="0" collapsed="false">
      <c r="H321" s="34"/>
    </row>
    <row r="322" customFormat="false" ht="15.75" hidden="false" customHeight="true" outlineLevel="0" collapsed="false">
      <c r="H322" s="34"/>
    </row>
    <row r="323" customFormat="false" ht="15.75" hidden="false" customHeight="true" outlineLevel="0" collapsed="false">
      <c r="H323" s="34"/>
    </row>
    <row r="324" customFormat="false" ht="15.75" hidden="false" customHeight="true" outlineLevel="0" collapsed="false">
      <c r="H324" s="34"/>
    </row>
    <row r="325" customFormat="false" ht="15.75" hidden="false" customHeight="true" outlineLevel="0" collapsed="false">
      <c r="H325" s="34"/>
    </row>
    <row r="326" customFormat="false" ht="15.75" hidden="false" customHeight="true" outlineLevel="0" collapsed="false">
      <c r="H326" s="34"/>
    </row>
    <row r="327" customFormat="false" ht="15.75" hidden="false" customHeight="true" outlineLevel="0" collapsed="false">
      <c r="H327" s="34"/>
    </row>
    <row r="328" customFormat="false" ht="15.75" hidden="false" customHeight="true" outlineLevel="0" collapsed="false">
      <c r="H328" s="34"/>
    </row>
    <row r="329" customFormat="false" ht="15.75" hidden="false" customHeight="true" outlineLevel="0" collapsed="false">
      <c r="H329" s="34"/>
    </row>
    <row r="330" customFormat="false" ht="15.75" hidden="false" customHeight="true" outlineLevel="0" collapsed="false">
      <c r="H330" s="34"/>
    </row>
    <row r="331" customFormat="false" ht="15.75" hidden="false" customHeight="true" outlineLevel="0" collapsed="false">
      <c r="H331" s="34"/>
    </row>
    <row r="332" customFormat="false" ht="15.75" hidden="false" customHeight="true" outlineLevel="0" collapsed="false">
      <c r="H332" s="34"/>
    </row>
    <row r="333" customFormat="false" ht="15.75" hidden="false" customHeight="true" outlineLevel="0" collapsed="false">
      <c r="H333" s="34"/>
    </row>
    <row r="334" customFormat="false" ht="15.75" hidden="false" customHeight="true" outlineLevel="0" collapsed="false">
      <c r="H334" s="34"/>
    </row>
    <row r="335" customFormat="false" ht="15.75" hidden="false" customHeight="true" outlineLevel="0" collapsed="false">
      <c r="H335" s="34"/>
    </row>
    <row r="336" customFormat="false" ht="15.75" hidden="false" customHeight="true" outlineLevel="0" collapsed="false">
      <c r="H336" s="34"/>
    </row>
    <row r="337" customFormat="false" ht="15.75" hidden="false" customHeight="true" outlineLevel="0" collapsed="false">
      <c r="H337" s="34"/>
    </row>
    <row r="338" customFormat="false" ht="15.75" hidden="false" customHeight="true" outlineLevel="0" collapsed="false">
      <c r="H338" s="34"/>
    </row>
    <row r="339" customFormat="false" ht="15.75" hidden="false" customHeight="true" outlineLevel="0" collapsed="false">
      <c r="H339" s="34"/>
    </row>
    <row r="340" customFormat="false" ht="15.75" hidden="false" customHeight="true" outlineLevel="0" collapsed="false">
      <c r="H340" s="34"/>
    </row>
    <row r="341" customFormat="false" ht="15.75" hidden="false" customHeight="true" outlineLevel="0" collapsed="false">
      <c r="H341" s="34"/>
    </row>
    <row r="342" customFormat="false" ht="15.75" hidden="false" customHeight="true" outlineLevel="0" collapsed="false">
      <c r="H342" s="34"/>
    </row>
    <row r="343" customFormat="false" ht="15.75" hidden="false" customHeight="true" outlineLevel="0" collapsed="false">
      <c r="H343" s="34"/>
    </row>
    <row r="344" customFormat="false" ht="15.75" hidden="false" customHeight="true" outlineLevel="0" collapsed="false">
      <c r="H344" s="34"/>
    </row>
    <row r="345" customFormat="false" ht="15.75" hidden="false" customHeight="true" outlineLevel="0" collapsed="false">
      <c r="H345" s="34"/>
    </row>
    <row r="346" customFormat="false" ht="15.75" hidden="false" customHeight="true" outlineLevel="0" collapsed="false">
      <c r="H346" s="34"/>
    </row>
    <row r="347" customFormat="false" ht="15.75" hidden="false" customHeight="true" outlineLevel="0" collapsed="false">
      <c r="H347" s="34"/>
    </row>
    <row r="348" customFormat="false" ht="15.75" hidden="false" customHeight="true" outlineLevel="0" collapsed="false">
      <c r="H348" s="34"/>
    </row>
    <row r="349" customFormat="false" ht="15.75" hidden="false" customHeight="true" outlineLevel="0" collapsed="false">
      <c r="H349" s="34"/>
    </row>
    <row r="350" customFormat="false" ht="15.75" hidden="false" customHeight="true" outlineLevel="0" collapsed="false">
      <c r="H350" s="34"/>
    </row>
    <row r="351" customFormat="false" ht="15.75" hidden="false" customHeight="true" outlineLevel="0" collapsed="false">
      <c r="H351" s="34"/>
    </row>
    <row r="352" customFormat="false" ht="15.75" hidden="false" customHeight="true" outlineLevel="0" collapsed="false">
      <c r="H352" s="34"/>
    </row>
    <row r="353" customFormat="false" ht="15.75" hidden="false" customHeight="true" outlineLevel="0" collapsed="false">
      <c r="H353" s="34"/>
    </row>
    <row r="354" customFormat="false" ht="15.75" hidden="false" customHeight="true" outlineLevel="0" collapsed="false">
      <c r="H354" s="34"/>
    </row>
    <row r="355" customFormat="false" ht="15.75" hidden="false" customHeight="true" outlineLevel="0" collapsed="false">
      <c r="H355" s="34"/>
    </row>
    <row r="356" customFormat="false" ht="15.75" hidden="false" customHeight="true" outlineLevel="0" collapsed="false">
      <c r="H356" s="34"/>
    </row>
    <row r="357" customFormat="false" ht="15.75" hidden="false" customHeight="true" outlineLevel="0" collapsed="false">
      <c r="H357" s="34"/>
    </row>
    <row r="358" customFormat="false" ht="15.75" hidden="false" customHeight="true" outlineLevel="0" collapsed="false">
      <c r="H358" s="34"/>
    </row>
    <row r="359" customFormat="false" ht="15.75" hidden="false" customHeight="true" outlineLevel="0" collapsed="false">
      <c r="H359" s="34"/>
    </row>
    <row r="360" customFormat="false" ht="15.75" hidden="false" customHeight="true" outlineLevel="0" collapsed="false">
      <c r="H360" s="34"/>
    </row>
    <row r="361" customFormat="false" ht="15.75" hidden="false" customHeight="true" outlineLevel="0" collapsed="false">
      <c r="H361" s="34"/>
    </row>
    <row r="362" customFormat="false" ht="15.75" hidden="false" customHeight="true" outlineLevel="0" collapsed="false">
      <c r="H362" s="34"/>
    </row>
    <row r="363" customFormat="false" ht="15.75" hidden="false" customHeight="true" outlineLevel="0" collapsed="false">
      <c r="H363" s="34"/>
    </row>
    <row r="364" customFormat="false" ht="15.75" hidden="false" customHeight="true" outlineLevel="0" collapsed="false">
      <c r="H364" s="34"/>
    </row>
    <row r="365" customFormat="false" ht="15.75" hidden="false" customHeight="true" outlineLevel="0" collapsed="false">
      <c r="H365" s="34"/>
    </row>
    <row r="366" customFormat="false" ht="15.75" hidden="false" customHeight="true" outlineLevel="0" collapsed="false">
      <c r="H366" s="34"/>
    </row>
    <row r="367" customFormat="false" ht="15.75" hidden="false" customHeight="true" outlineLevel="0" collapsed="false">
      <c r="H367" s="34"/>
    </row>
    <row r="368" customFormat="false" ht="15.75" hidden="false" customHeight="true" outlineLevel="0" collapsed="false">
      <c r="H368" s="34"/>
    </row>
    <row r="369" customFormat="false" ht="15.75" hidden="false" customHeight="true" outlineLevel="0" collapsed="false">
      <c r="H369" s="34"/>
    </row>
    <row r="370" customFormat="false" ht="15.75" hidden="false" customHeight="true" outlineLevel="0" collapsed="false">
      <c r="H370" s="34"/>
    </row>
    <row r="371" customFormat="false" ht="15.75" hidden="false" customHeight="true" outlineLevel="0" collapsed="false">
      <c r="H371" s="34"/>
    </row>
    <row r="372" customFormat="false" ht="15.75" hidden="false" customHeight="true" outlineLevel="0" collapsed="false">
      <c r="H372" s="34"/>
    </row>
    <row r="373" customFormat="false" ht="15.75" hidden="false" customHeight="true" outlineLevel="0" collapsed="false">
      <c r="H373" s="34"/>
    </row>
    <row r="374" customFormat="false" ht="15.75" hidden="false" customHeight="true" outlineLevel="0" collapsed="false">
      <c r="H374" s="34"/>
    </row>
    <row r="375" customFormat="false" ht="15.75" hidden="false" customHeight="true" outlineLevel="0" collapsed="false">
      <c r="H375" s="34"/>
    </row>
    <row r="376" customFormat="false" ht="15.75" hidden="false" customHeight="true" outlineLevel="0" collapsed="false">
      <c r="H376" s="34"/>
    </row>
    <row r="377" customFormat="false" ht="15.75" hidden="false" customHeight="true" outlineLevel="0" collapsed="false">
      <c r="H377" s="34"/>
    </row>
    <row r="378" customFormat="false" ht="15.75" hidden="false" customHeight="true" outlineLevel="0" collapsed="false">
      <c r="H378" s="34"/>
    </row>
    <row r="379" customFormat="false" ht="15.75" hidden="false" customHeight="true" outlineLevel="0" collapsed="false">
      <c r="H379" s="34"/>
    </row>
    <row r="380" customFormat="false" ht="15.75" hidden="false" customHeight="true" outlineLevel="0" collapsed="false">
      <c r="H380" s="34"/>
    </row>
    <row r="381" customFormat="false" ht="15.75" hidden="false" customHeight="true" outlineLevel="0" collapsed="false">
      <c r="H381" s="34"/>
    </row>
    <row r="382" customFormat="false" ht="15.75" hidden="false" customHeight="true" outlineLevel="0" collapsed="false">
      <c r="H382" s="34"/>
    </row>
    <row r="383" customFormat="false" ht="15.75" hidden="false" customHeight="true" outlineLevel="0" collapsed="false">
      <c r="H383" s="34"/>
    </row>
    <row r="384" customFormat="false" ht="15.75" hidden="false" customHeight="true" outlineLevel="0" collapsed="false">
      <c r="H384" s="34"/>
    </row>
    <row r="385" customFormat="false" ht="15.75" hidden="false" customHeight="true" outlineLevel="0" collapsed="false">
      <c r="H385" s="34"/>
    </row>
    <row r="386" customFormat="false" ht="15.75" hidden="false" customHeight="true" outlineLevel="0" collapsed="false">
      <c r="H386" s="34"/>
    </row>
    <row r="387" customFormat="false" ht="15.75" hidden="false" customHeight="true" outlineLevel="0" collapsed="false">
      <c r="H387" s="34"/>
    </row>
    <row r="388" customFormat="false" ht="15.75" hidden="false" customHeight="true" outlineLevel="0" collapsed="false">
      <c r="H388" s="34"/>
    </row>
    <row r="389" customFormat="false" ht="15.75" hidden="false" customHeight="true" outlineLevel="0" collapsed="false">
      <c r="H389" s="34"/>
    </row>
    <row r="390" customFormat="false" ht="15.75" hidden="false" customHeight="true" outlineLevel="0" collapsed="false">
      <c r="H390" s="34"/>
    </row>
    <row r="391" customFormat="false" ht="15.75" hidden="false" customHeight="true" outlineLevel="0" collapsed="false">
      <c r="H391" s="34"/>
    </row>
    <row r="392" customFormat="false" ht="15.75" hidden="false" customHeight="true" outlineLevel="0" collapsed="false">
      <c r="H392" s="34"/>
    </row>
    <row r="393" customFormat="false" ht="15.75" hidden="false" customHeight="true" outlineLevel="0" collapsed="false">
      <c r="H393" s="34"/>
    </row>
    <row r="394" customFormat="false" ht="15.75" hidden="false" customHeight="true" outlineLevel="0" collapsed="false">
      <c r="H394" s="34"/>
    </row>
    <row r="395" customFormat="false" ht="15.75" hidden="false" customHeight="true" outlineLevel="0" collapsed="false">
      <c r="H395" s="34"/>
    </row>
    <row r="396" customFormat="false" ht="15.75" hidden="false" customHeight="true" outlineLevel="0" collapsed="false">
      <c r="H396" s="34"/>
    </row>
    <row r="397" customFormat="false" ht="15.75" hidden="false" customHeight="true" outlineLevel="0" collapsed="false">
      <c r="H397" s="34"/>
    </row>
    <row r="398" customFormat="false" ht="15.75" hidden="false" customHeight="true" outlineLevel="0" collapsed="false">
      <c r="H398" s="34"/>
    </row>
    <row r="399" customFormat="false" ht="15.75" hidden="false" customHeight="true" outlineLevel="0" collapsed="false">
      <c r="H399" s="34"/>
    </row>
    <row r="400" customFormat="false" ht="15.75" hidden="false" customHeight="true" outlineLevel="0" collapsed="false">
      <c r="H400" s="34"/>
    </row>
    <row r="401" customFormat="false" ht="15.75" hidden="false" customHeight="true" outlineLevel="0" collapsed="false">
      <c r="H401" s="34"/>
    </row>
    <row r="402" customFormat="false" ht="15.75" hidden="false" customHeight="true" outlineLevel="0" collapsed="false">
      <c r="H402" s="34"/>
    </row>
    <row r="403" customFormat="false" ht="15.75" hidden="false" customHeight="true" outlineLevel="0" collapsed="false">
      <c r="H403" s="34"/>
    </row>
    <row r="404" customFormat="false" ht="15.75" hidden="false" customHeight="true" outlineLevel="0" collapsed="false">
      <c r="H404" s="34"/>
    </row>
    <row r="405" customFormat="false" ht="15.75" hidden="false" customHeight="true" outlineLevel="0" collapsed="false">
      <c r="H405" s="34"/>
    </row>
    <row r="406" customFormat="false" ht="15.75" hidden="false" customHeight="true" outlineLevel="0" collapsed="false">
      <c r="H406" s="34"/>
    </row>
    <row r="407" customFormat="false" ht="15.75" hidden="false" customHeight="true" outlineLevel="0" collapsed="false">
      <c r="H407" s="34"/>
    </row>
    <row r="408" customFormat="false" ht="15.75" hidden="false" customHeight="true" outlineLevel="0" collapsed="false">
      <c r="H408" s="34"/>
    </row>
    <row r="409" customFormat="false" ht="15.75" hidden="false" customHeight="true" outlineLevel="0" collapsed="false">
      <c r="H409" s="34"/>
    </row>
    <row r="410" customFormat="false" ht="15.75" hidden="false" customHeight="true" outlineLevel="0" collapsed="false">
      <c r="H410" s="34"/>
    </row>
    <row r="411" customFormat="false" ht="15.75" hidden="false" customHeight="true" outlineLevel="0" collapsed="false">
      <c r="H411" s="34"/>
    </row>
    <row r="412" customFormat="false" ht="15.75" hidden="false" customHeight="true" outlineLevel="0" collapsed="false">
      <c r="H412" s="34"/>
    </row>
    <row r="413" customFormat="false" ht="15.75" hidden="false" customHeight="true" outlineLevel="0" collapsed="false">
      <c r="H413" s="34"/>
    </row>
    <row r="414" customFormat="false" ht="15.75" hidden="false" customHeight="true" outlineLevel="0" collapsed="false">
      <c r="H414" s="34"/>
    </row>
    <row r="415" customFormat="false" ht="15.75" hidden="false" customHeight="true" outlineLevel="0" collapsed="false">
      <c r="H415" s="34"/>
    </row>
    <row r="416" customFormat="false" ht="15.75" hidden="false" customHeight="true" outlineLevel="0" collapsed="false">
      <c r="H416" s="34"/>
    </row>
    <row r="417" customFormat="false" ht="15.75" hidden="false" customHeight="true" outlineLevel="0" collapsed="false">
      <c r="H417" s="34"/>
    </row>
    <row r="418" customFormat="false" ht="15.75" hidden="false" customHeight="true" outlineLevel="0" collapsed="false">
      <c r="H418" s="34"/>
    </row>
    <row r="419" customFormat="false" ht="15.75" hidden="false" customHeight="true" outlineLevel="0" collapsed="false">
      <c r="H419" s="34"/>
    </row>
    <row r="420" customFormat="false" ht="15.75" hidden="false" customHeight="true" outlineLevel="0" collapsed="false">
      <c r="H420" s="34"/>
    </row>
    <row r="421" customFormat="false" ht="15.75" hidden="false" customHeight="true" outlineLevel="0" collapsed="false">
      <c r="H421" s="34"/>
    </row>
    <row r="422" customFormat="false" ht="15.75" hidden="false" customHeight="true" outlineLevel="0" collapsed="false">
      <c r="H422" s="34"/>
    </row>
    <row r="423" customFormat="false" ht="15.75" hidden="false" customHeight="true" outlineLevel="0" collapsed="false">
      <c r="H423" s="34"/>
    </row>
    <row r="424" customFormat="false" ht="15.75" hidden="false" customHeight="true" outlineLevel="0" collapsed="false">
      <c r="H424" s="34"/>
    </row>
    <row r="425" customFormat="false" ht="15.75" hidden="false" customHeight="true" outlineLevel="0" collapsed="false">
      <c r="H425" s="34"/>
    </row>
    <row r="426" customFormat="false" ht="15.75" hidden="false" customHeight="true" outlineLevel="0" collapsed="false">
      <c r="H426" s="34"/>
    </row>
    <row r="427" customFormat="false" ht="15.75" hidden="false" customHeight="true" outlineLevel="0" collapsed="false">
      <c r="H427" s="34"/>
    </row>
    <row r="428" customFormat="false" ht="15.75" hidden="false" customHeight="true" outlineLevel="0" collapsed="false">
      <c r="H428" s="34"/>
    </row>
    <row r="429" customFormat="false" ht="15.75" hidden="false" customHeight="true" outlineLevel="0" collapsed="false">
      <c r="H429" s="34"/>
    </row>
    <row r="430" customFormat="false" ht="15.75" hidden="false" customHeight="true" outlineLevel="0" collapsed="false">
      <c r="H430" s="34"/>
    </row>
    <row r="431" customFormat="false" ht="15.75" hidden="false" customHeight="true" outlineLevel="0" collapsed="false">
      <c r="H431" s="34"/>
    </row>
    <row r="432" customFormat="false" ht="15.75" hidden="false" customHeight="true" outlineLevel="0" collapsed="false">
      <c r="H432" s="34"/>
    </row>
    <row r="433" customFormat="false" ht="15.75" hidden="false" customHeight="true" outlineLevel="0" collapsed="false">
      <c r="H433" s="34"/>
    </row>
    <row r="434" customFormat="false" ht="15.75" hidden="false" customHeight="true" outlineLevel="0" collapsed="false">
      <c r="H434" s="34"/>
    </row>
    <row r="435" customFormat="false" ht="15.75" hidden="false" customHeight="true" outlineLevel="0" collapsed="false">
      <c r="H435" s="34"/>
    </row>
    <row r="436" customFormat="false" ht="15.75" hidden="false" customHeight="true" outlineLevel="0" collapsed="false">
      <c r="H436" s="34"/>
    </row>
    <row r="437" customFormat="false" ht="15.75" hidden="false" customHeight="true" outlineLevel="0" collapsed="false">
      <c r="H437" s="34"/>
    </row>
    <row r="438" customFormat="false" ht="15.75" hidden="false" customHeight="true" outlineLevel="0" collapsed="false">
      <c r="H438" s="34"/>
    </row>
    <row r="439" customFormat="false" ht="15.75" hidden="false" customHeight="true" outlineLevel="0" collapsed="false">
      <c r="H439" s="34"/>
    </row>
    <row r="440" customFormat="false" ht="15.75" hidden="false" customHeight="true" outlineLevel="0" collapsed="false">
      <c r="H440" s="34"/>
    </row>
    <row r="441" customFormat="false" ht="15.75" hidden="false" customHeight="true" outlineLevel="0" collapsed="false">
      <c r="H441" s="34"/>
    </row>
    <row r="442" customFormat="false" ht="15.75" hidden="false" customHeight="true" outlineLevel="0" collapsed="false">
      <c r="H442" s="34"/>
    </row>
    <row r="443" customFormat="false" ht="15.75" hidden="false" customHeight="true" outlineLevel="0" collapsed="false">
      <c r="H443" s="34"/>
    </row>
    <row r="444" customFormat="false" ht="15.75" hidden="false" customHeight="true" outlineLevel="0" collapsed="false">
      <c r="H444" s="34"/>
    </row>
    <row r="445" customFormat="false" ht="15.75" hidden="false" customHeight="true" outlineLevel="0" collapsed="false">
      <c r="H445" s="34"/>
    </row>
    <row r="446" customFormat="false" ht="15.75" hidden="false" customHeight="true" outlineLevel="0" collapsed="false">
      <c r="H446" s="34"/>
    </row>
    <row r="447" customFormat="false" ht="15.75" hidden="false" customHeight="true" outlineLevel="0" collapsed="false">
      <c r="H447" s="34"/>
    </row>
    <row r="448" customFormat="false" ht="15.75" hidden="false" customHeight="true" outlineLevel="0" collapsed="false">
      <c r="H448" s="34"/>
    </row>
    <row r="449" customFormat="false" ht="15.75" hidden="false" customHeight="true" outlineLevel="0" collapsed="false">
      <c r="H449" s="34"/>
    </row>
    <row r="450" customFormat="false" ht="15.75" hidden="false" customHeight="true" outlineLevel="0" collapsed="false">
      <c r="H450" s="34"/>
    </row>
    <row r="451" customFormat="false" ht="15.75" hidden="false" customHeight="true" outlineLevel="0" collapsed="false">
      <c r="H451" s="34"/>
    </row>
    <row r="452" customFormat="false" ht="15.75" hidden="false" customHeight="true" outlineLevel="0" collapsed="false">
      <c r="H452" s="34"/>
    </row>
    <row r="453" customFormat="false" ht="15.75" hidden="false" customHeight="true" outlineLevel="0" collapsed="false">
      <c r="H453" s="34"/>
    </row>
    <row r="454" customFormat="false" ht="15.75" hidden="false" customHeight="true" outlineLevel="0" collapsed="false">
      <c r="H454" s="34"/>
    </row>
    <row r="455" customFormat="false" ht="15.75" hidden="false" customHeight="true" outlineLevel="0" collapsed="false">
      <c r="H455" s="34"/>
    </row>
    <row r="456" customFormat="false" ht="15.75" hidden="false" customHeight="true" outlineLevel="0" collapsed="false">
      <c r="H456" s="34"/>
    </row>
    <row r="457" customFormat="false" ht="15.75" hidden="false" customHeight="true" outlineLevel="0" collapsed="false">
      <c r="H457" s="34"/>
    </row>
    <row r="458" customFormat="false" ht="15.75" hidden="false" customHeight="true" outlineLevel="0" collapsed="false">
      <c r="H458" s="34"/>
    </row>
    <row r="459" customFormat="false" ht="15.75" hidden="false" customHeight="true" outlineLevel="0" collapsed="false">
      <c r="H459" s="34"/>
    </row>
    <row r="460" customFormat="false" ht="15.75" hidden="false" customHeight="true" outlineLevel="0" collapsed="false">
      <c r="H460" s="34"/>
    </row>
    <row r="461" customFormat="false" ht="15.75" hidden="false" customHeight="true" outlineLevel="0" collapsed="false">
      <c r="H461" s="34"/>
    </row>
    <row r="462" customFormat="false" ht="15.75" hidden="false" customHeight="true" outlineLevel="0" collapsed="false">
      <c r="H462" s="34"/>
    </row>
    <row r="463" customFormat="false" ht="15.75" hidden="false" customHeight="true" outlineLevel="0" collapsed="false">
      <c r="H463" s="34"/>
    </row>
    <row r="464" customFormat="false" ht="15.75" hidden="false" customHeight="true" outlineLevel="0" collapsed="false">
      <c r="H464" s="34"/>
    </row>
    <row r="465" customFormat="false" ht="15.75" hidden="false" customHeight="true" outlineLevel="0" collapsed="false">
      <c r="H465" s="34"/>
    </row>
    <row r="466" customFormat="false" ht="15.75" hidden="false" customHeight="true" outlineLevel="0" collapsed="false">
      <c r="H466" s="34"/>
    </row>
    <row r="467" customFormat="false" ht="15.75" hidden="false" customHeight="true" outlineLevel="0" collapsed="false">
      <c r="H467" s="34"/>
    </row>
    <row r="468" customFormat="false" ht="15.75" hidden="false" customHeight="true" outlineLevel="0" collapsed="false">
      <c r="H468" s="34"/>
    </row>
    <row r="469" customFormat="false" ht="15.75" hidden="false" customHeight="true" outlineLevel="0" collapsed="false">
      <c r="H469" s="34"/>
    </row>
    <row r="470" customFormat="false" ht="15.75" hidden="false" customHeight="true" outlineLevel="0" collapsed="false">
      <c r="H470" s="34"/>
    </row>
    <row r="471" customFormat="false" ht="15.75" hidden="false" customHeight="true" outlineLevel="0" collapsed="false">
      <c r="H471" s="34"/>
    </row>
    <row r="472" customFormat="false" ht="15.75" hidden="false" customHeight="true" outlineLevel="0" collapsed="false">
      <c r="H472" s="34"/>
    </row>
    <row r="473" customFormat="false" ht="15.75" hidden="false" customHeight="true" outlineLevel="0" collapsed="false">
      <c r="H473" s="34"/>
    </row>
    <row r="474" customFormat="false" ht="15.75" hidden="false" customHeight="true" outlineLevel="0" collapsed="false">
      <c r="H474" s="34"/>
    </row>
    <row r="475" customFormat="false" ht="15.75" hidden="false" customHeight="true" outlineLevel="0" collapsed="false">
      <c r="H475" s="34"/>
    </row>
    <row r="476" customFormat="false" ht="15.75" hidden="false" customHeight="true" outlineLevel="0" collapsed="false">
      <c r="H476" s="34"/>
    </row>
    <row r="477" customFormat="false" ht="15.75" hidden="false" customHeight="true" outlineLevel="0" collapsed="false">
      <c r="H477" s="34"/>
    </row>
    <row r="478" customFormat="false" ht="15.75" hidden="false" customHeight="true" outlineLevel="0" collapsed="false">
      <c r="H478" s="34"/>
    </row>
    <row r="479" customFormat="false" ht="15.75" hidden="false" customHeight="true" outlineLevel="0" collapsed="false">
      <c r="H479" s="34"/>
    </row>
    <row r="480" customFormat="false" ht="15.75" hidden="false" customHeight="true" outlineLevel="0" collapsed="false">
      <c r="H480" s="34"/>
    </row>
    <row r="481" customFormat="false" ht="15.75" hidden="false" customHeight="true" outlineLevel="0" collapsed="false">
      <c r="H481" s="34"/>
    </row>
    <row r="482" customFormat="false" ht="15.75" hidden="false" customHeight="true" outlineLevel="0" collapsed="false">
      <c r="H482" s="34"/>
    </row>
    <row r="483" customFormat="false" ht="15.75" hidden="false" customHeight="true" outlineLevel="0" collapsed="false">
      <c r="H483" s="34"/>
    </row>
    <row r="484" customFormat="false" ht="15.75" hidden="false" customHeight="true" outlineLevel="0" collapsed="false">
      <c r="H484" s="34"/>
    </row>
    <row r="485" customFormat="false" ht="15.75" hidden="false" customHeight="true" outlineLevel="0" collapsed="false">
      <c r="H485" s="34"/>
    </row>
    <row r="486" customFormat="false" ht="15.75" hidden="false" customHeight="true" outlineLevel="0" collapsed="false">
      <c r="H486" s="34"/>
    </row>
    <row r="487" customFormat="false" ht="15.75" hidden="false" customHeight="true" outlineLevel="0" collapsed="false">
      <c r="H487" s="34"/>
    </row>
    <row r="488" customFormat="false" ht="15.75" hidden="false" customHeight="true" outlineLevel="0" collapsed="false">
      <c r="H488" s="34"/>
    </row>
    <row r="489" customFormat="false" ht="15.75" hidden="false" customHeight="true" outlineLevel="0" collapsed="false">
      <c r="H489" s="34"/>
    </row>
    <row r="490" customFormat="false" ht="15.75" hidden="false" customHeight="true" outlineLevel="0" collapsed="false">
      <c r="H490" s="34"/>
    </row>
    <row r="491" customFormat="false" ht="15.75" hidden="false" customHeight="true" outlineLevel="0" collapsed="false">
      <c r="H491" s="34"/>
    </row>
    <row r="492" customFormat="false" ht="15.75" hidden="false" customHeight="true" outlineLevel="0" collapsed="false">
      <c r="H492" s="34"/>
    </row>
    <row r="493" customFormat="false" ht="15.75" hidden="false" customHeight="true" outlineLevel="0" collapsed="false">
      <c r="H493" s="34"/>
    </row>
    <row r="494" customFormat="false" ht="15.75" hidden="false" customHeight="true" outlineLevel="0" collapsed="false">
      <c r="H494" s="34"/>
    </row>
    <row r="495" customFormat="false" ht="15.75" hidden="false" customHeight="true" outlineLevel="0" collapsed="false">
      <c r="H495" s="34"/>
    </row>
    <row r="496" customFormat="false" ht="15.75" hidden="false" customHeight="true" outlineLevel="0" collapsed="false">
      <c r="H496" s="34"/>
    </row>
    <row r="497" customFormat="false" ht="15.75" hidden="false" customHeight="true" outlineLevel="0" collapsed="false">
      <c r="H497" s="34"/>
    </row>
    <row r="498" customFormat="false" ht="15.75" hidden="false" customHeight="true" outlineLevel="0" collapsed="false">
      <c r="H498" s="34"/>
    </row>
    <row r="499" customFormat="false" ht="15.75" hidden="false" customHeight="true" outlineLevel="0" collapsed="false">
      <c r="H499" s="34"/>
    </row>
    <row r="500" customFormat="false" ht="15.75" hidden="false" customHeight="true" outlineLevel="0" collapsed="false">
      <c r="H500" s="34"/>
    </row>
    <row r="501" customFormat="false" ht="15.75" hidden="false" customHeight="true" outlineLevel="0" collapsed="false">
      <c r="H501" s="34"/>
    </row>
    <row r="502" customFormat="false" ht="15.75" hidden="false" customHeight="true" outlineLevel="0" collapsed="false">
      <c r="H502" s="34"/>
    </row>
    <row r="503" customFormat="false" ht="15.75" hidden="false" customHeight="true" outlineLevel="0" collapsed="false">
      <c r="H503" s="34"/>
    </row>
    <row r="504" customFormat="false" ht="15.75" hidden="false" customHeight="true" outlineLevel="0" collapsed="false">
      <c r="H504" s="34"/>
    </row>
    <row r="505" customFormat="false" ht="15.75" hidden="false" customHeight="true" outlineLevel="0" collapsed="false">
      <c r="H505" s="34"/>
    </row>
    <row r="506" customFormat="false" ht="15.75" hidden="false" customHeight="true" outlineLevel="0" collapsed="false">
      <c r="H506" s="34"/>
    </row>
    <row r="507" customFormat="false" ht="15.75" hidden="false" customHeight="true" outlineLevel="0" collapsed="false">
      <c r="H507" s="34"/>
    </row>
    <row r="508" customFormat="false" ht="15.75" hidden="false" customHeight="true" outlineLevel="0" collapsed="false">
      <c r="H508" s="34"/>
    </row>
    <row r="509" customFormat="false" ht="15.75" hidden="false" customHeight="true" outlineLevel="0" collapsed="false">
      <c r="H509" s="34"/>
    </row>
    <row r="510" customFormat="false" ht="15.75" hidden="false" customHeight="true" outlineLevel="0" collapsed="false">
      <c r="H510" s="34"/>
    </row>
    <row r="511" customFormat="false" ht="15.75" hidden="false" customHeight="true" outlineLevel="0" collapsed="false">
      <c r="H511" s="34"/>
    </row>
    <row r="512" customFormat="false" ht="15.75" hidden="false" customHeight="true" outlineLevel="0" collapsed="false">
      <c r="H512" s="34"/>
    </row>
    <row r="513" customFormat="false" ht="15.75" hidden="false" customHeight="true" outlineLevel="0" collapsed="false">
      <c r="H513" s="34"/>
    </row>
    <row r="514" customFormat="false" ht="15.75" hidden="false" customHeight="true" outlineLevel="0" collapsed="false">
      <c r="H514" s="34"/>
    </row>
    <row r="515" customFormat="false" ht="15.75" hidden="false" customHeight="true" outlineLevel="0" collapsed="false">
      <c r="H515" s="34"/>
    </row>
    <row r="516" customFormat="false" ht="15.75" hidden="false" customHeight="true" outlineLevel="0" collapsed="false">
      <c r="H516" s="34"/>
    </row>
    <row r="517" customFormat="false" ht="15.75" hidden="false" customHeight="true" outlineLevel="0" collapsed="false">
      <c r="H517" s="34"/>
    </row>
    <row r="518" customFormat="false" ht="15.75" hidden="false" customHeight="true" outlineLevel="0" collapsed="false">
      <c r="H518" s="34"/>
    </row>
    <row r="519" customFormat="false" ht="15.75" hidden="false" customHeight="true" outlineLevel="0" collapsed="false">
      <c r="H519" s="34"/>
    </row>
    <row r="520" customFormat="false" ht="15.75" hidden="false" customHeight="true" outlineLevel="0" collapsed="false">
      <c r="H520" s="34"/>
    </row>
    <row r="521" customFormat="false" ht="15.75" hidden="false" customHeight="true" outlineLevel="0" collapsed="false">
      <c r="H521" s="34"/>
    </row>
    <row r="522" customFormat="false" ht="15.75" hidden="false" customHeight="true" outlineLevel="0" collapsed="false">
      <c r="H522" s="34"/>
    </row>
    <row r="523" customFormat="false" ht="15.75" hidden="false" customHeight="true" outlineLevel="0" collapsed="false">
      <c r="H523" s="34"/>
    </row>
    <row r="524" customFormat="false" ht="15.75" hidden="false" customHeight="true" outlineLevel="0" collapsed="false">
      <c r="H524" s="34"/>
    </row>
    <row r="525" customFormat="false" ht="15.75" hidden="false" customHeight="true" outlineLevel="0" collapsed="false">
      <c r="H525" s="34"/>
    </row>
    <row r="526" customFormat="false" ht="15.75" hidden="false" customHeight="true" outlineLevel="0" collapsed="false">
      <c r="H526" s="34"/>
    </row>
    <row r="527" customFormat="false" ht="15.75" hidden="false" customHeight="true" outlineLevel="0" collapsed="false">
      <c r="H527" s="34"/>
    </row>
    <row r="528" customFormat="false" ht="15.75" hidden="false" customHeight="true" outlineLevel="0" collapsed="false">
      <c r="H528" s="34"/>
    </row>
    <row r="529" customFormat="false" ht="15.75" hidden="false" customHeight="true" outlineLevel="0" collapsed="false">
      <c r="H529" s="34"/>
    </row>
    <row r="530" customFormat="false" ht="15.75" hidden="false" customHeight="true" outlineLevel="0" collapsed="false">
      <c r="H530" s="34"/>
    </row>
    <row r="531" customFormat="false" ht="15.75" hidden="false" customHeight="true" outlineLevel="0" collapsed="false">
      <c r="H531" s="34"/>
    </row>
    <row r="532" customFormat="false" ht="15.75" hidden="false" customHeight="true" outlineLevel="0" collapsed="false">
      <c r="H532" s="34"/>
    </row>
    <row r="533" customFormat="false" ht="15.75" hidden="false" customHeight="true" outlineLevel="0" collapsed="false">
      <c r="H533" s="34"/>
    </row>
    <row r="534" customFormat="false" ht="15.75" hidden="false" customHeight="true" outlineLevel="0" collapsed="false">
      <c r="H534" s="34"/>
    </row>
    <row r="535" customFormat="false" ht="15.75" hidden="false" customHeight="true" outlineLevel="0" collapsed="false">
      <c r="H535" s="34"/>
    </row>
    <row r="536" customFormat="false" ht="15.75" hidden="false" customHeight="true" outlineLevel="0" collapsed="false">
      <c r="H536" s="34"/>
    </row>
    <row r="537" customFormat="false" ht="15.75" hidden="false" customHeight="true" outlineLevel="0" collapsed="false">
      <c r="H537" s="34"/>
    </row>
    <row r="538" customFormat="false" ht="15.75" hidden="false" customHeight="true" outlineLevel="0" collapsed="false">
      <c r="H538" s="34"/>
    </row>
    <row r="539" customFormat="false" ht="15.75" hidden="false" customHeight="true" outlineLevel="0" collapsed="false">
      <c r="H539" s="34"/>
    </row>
    <row r="540" customFormat="false" ht="15.75" hidden="false" customHeight="true" outlineLevel="0" collapsed="false">
      <c r="H540" s="34"/>
    </row>
    <row r="541" customFormat="false" ht="15.75" hidden="false" customHeight="true" outlineLevel="0" collapsed="false">
      <c r="H541" s="34"/>
    </row>
    <row r="542" customFormat="false" ht="15.75" hidden="false" customHeight="true" outlineLevel="0" collapsed="false">
      <c r="H542" s="34"/>
    </row>
    <row r="543" customFormat="false" ht="15.75" hidden="false" customHeight="true" outlineLevel="0" collapsed="false">
      <c r="H543" s="34"/>
    </row>
    <row r="544" customFormat="false" ht="15.75" hidden="false" customHeight="true" outlineLevel="0" collapsed="false">
      <c r="H544" s="34"/>
    </row>
    <row r="545" customFormat="false" ht="15.75" hidden="false" customHeight="true" outlineLevel="0" collapsed="false">
      <c r="H545" s="34"/>
    </row>
    <row r="546" customFormat="false" ht="15.75" hidden="false" customHeight="true" outlineLevel="0" collapsed="false">
      <c r="H546" s="34"/>
    </row>
    <row r="547" customFormat="false" ht="15.75" hidden="false" customHeight="true" outlineLevel="0" collapsed="false">
      <c r="H547" s="34"/>
    </row>
    <row r="548" customFormat="false" ht="15.75" hidden="false" customHeight="true" outlineLevel="0" collapsed="false">
      <c r="H548" s="34"/>
    </row>
    <row r="549" customFormat="false" ht="15.75" hidden="false" customHeight="true" outlineLevel="0" collapsed="false">
      <c r="H549" s="34"/>
    </row>
    <row r="550" customFormat="false" ht="15.75" hidden="false" customHeight="true" outlineLevel="0" collapsed="false">
      <c r="H550" s="34"/>
    </row>
    <row r="551" customFormat="false" ht="15.75" hidden="false" customHeight="true" outlineLevel="0" collapsed="false">
      <c r="H551" s="34"/>
    </row>
    <row r="552" customFormat="false" ht="15.75" hidden="false" customHeight="true" outlineLevel="0" collapsed="false">
      <c r="H552" s="34"/>
    </row>
    <row r="553" customFormat="false" ht="15.75" hidden="false" customHeight="true" outlineLevel="0" collapsed="false">
      <c r="H553" s="34"/>
    </row>
    <row r="554" customFormat="false" ht="15.75" hidden="false" customHeight="true" outlineLevel="0" collapsed="false">
      <c r="H554" s="34"/>
    </row>
    <row r="555" customFormat="false" ht="15.75" hidden="false" customHeight="true" outlineLevel="0" collapsed="false">
      <c r="H555" s="34"/>
    </row>
    <row r="556" customFormat="false" ht="15.75" hidden="false" customHeight="true" outlineLevel="0" collapsed="false">
      <c r="H556" s="34"/>
    </row>
    <row r="557" customFormat="false" ht="15.75" hidden="false" customHeight="true" outlineLevel="0" collapsed="false">
      <c r="H557" s="34"/>
    </row>
    <row r="558" customFormat="false" ht="15.75" hidden="false" customHeight="true" outlineLevel="0" collapsed="false">
      <c r="H558" s="34"/>
    </row>
    <row r="559" customFormat="false" ht="15.75" hidden="false" customHeight="true" outlineLevel="0" collapsed="false">
      <c r="H559" s="34"/>
    </row>
    <row r="560" customFormat="false" ht="15.75" hidden="false" customHeight="true" outlineLevel="0" collapsed="false">
      <c r="H560" s="34"/>
    </row>
    <row r="561" customFormat="false" ht="15.75" hidden="false" customHeight="true" outlineLevel="0" collapsed="false">
      <c r="H561" s="34"/>
    </row>
    <row r="562" customFormat="false" ht="15.75" hidden="false" customHeight="true" outlineLevel="0" collapsed="false">
      <c r="H562" s="34"/>
    </row>
    <row r="563" customFormat="false" ht="15.75" hidden="false" customHeight="true" outlineLevel="0" collapsed="false">
      <c r="H563" s="34"/>
    </row>
    <row r="564" customFormat="false" ht="15.75" hidden="false" customHeight="true" outlineLevel="0" collapsed="false">
      <c r="H564" s="34"/>
    </row>
    <row r="565" customFormat="false" ht="15.75" hidden="false" customHeight="true" outlineLevel="0" collapsed="false">
      <c r="H565" s="34"/>
    </row>
    <row r="566" customFormat="false" ht="15.75" hidden="false" customHeight="true" outlineLevel="0" collapsed="false">
      <c r="H566" s="34"/>
    </row>
    <row r="567" customFormat="false" ht="15.75" hidden="false" customHeight="true" outlineLevel="0" collapsed="false">
      <c r="H567" s="34"/>
    </row>
    <row r="568" customFormat="false" ht="15.75" hidden="false" customHeight="true" outlineLevel="0" collapsed="false">
      <c r="H568" s="34"/>
    </row>
    <row r="569" customFormat="false" ht="15.75" hidden="false" customHeight="true" outlineLevel="0" collapsed="false">
      <c r="H569" s="34"/>
    </row>
    <row r="570" customFormat="false" ht="15.75" hidden="false" customHeight="true" outlineLevel="0" collapsed="false">
      <c r="H570" s="34"/>
    </row>
    <row r="571" customFormat="false" ht="15.75" hidden="false" customHeight="true" outlineLevel="0" collapsed="false">
      <c r="H571" s="34"/>
    </row>
    <row r="572" customFormat="false" ht="15.75" hidden="false" customHeight="true" outlineLevel="0" collapsed="false">
      <c r="H572" s="34"/>
    </row>
    <row r="573" customFormat="false" ht="15.75" hidden="false" customHeight="true" outlineLevel="0" collapsed="false">
      <c r="H573" s="34"/>
    </row>
    <row r="574" customFormat="false" ht="15.75" hidden="false" customHeight="true" outlineLevel="0" collapsed="false">
      <c r="H574" s="34"/>
    </row>
    <row r="575" customFormat="false" ht="15.75" hidden="false" customHeight="true" outlineLevel="0" collapsed="false">
      <c r="H575" s="34"/>
    </row>
    <row r="576" customFormat="false" ht="15.75" hidden="false" customHeight="true" outlineLevel="0" collapsed="false">
      <c r="H576" s="34"/>
    </row>
    <row r="577" customFormat="false" ht="15.75" hidden="false" customHeight="true" outlineLevel="0" collapsed="false">
      <c r="H577" s="34"/>
    </row>
    <row r="578" customFormat="false" ht="15.75" hidden="false" customHeight="true" outlineLevel="0" collapsed="false">
      <c r="H578" s="34"/>
    </row>
    <row r="579" customFormat="false" ht="15.75" hidden="false" customHeight="true" outlineLevel="0" collapsed="false">
      <c r="H579" s="34"/>
    </row>
    <row r="580" customFormat="false" ht="15.75" hidden="false" customHeight="true" outlineLevel="0" collapsed="false">
      <c r="H580" s="34"/>
    </row>
    <row r="581" customFormat="false" ht="15.75" hidden="false" customHeight="true" outlineLevel="0" collapsed="false">
      <c r="H581" s="34"/>
    </row>
    <row r="582" customFormat="false" ht="15.75" hidden="false" customHeight="true" outlineLevel="0" collapsed="false">
      <c r="H582" s="34"/>
    </row>
    <row r="583" customFormat="false" ht="15.75" hidden="false" customHeight="true" outlineLevel="0" collapsed="false">
      <c r="H583" s="34"/>
    </row>
    <row r="584" customFormat="false" ht="15.75" hidden="false" customHeight="true" outlineLevel="0" collapsed="false">
      <c r="H584" s="34"/>
    </row>
    <row r="585" customFormat="false" ht="15.75" hidden="false" customHeight="true" outlineLevel="0" collapsed="false">
      <c r="H585" s="34"/>
    </row>
    <row r="586" customFormat="false" ht="15.75" hidden="false" customHeight="true" outlineLevel="0" collapsed="false">
      <c r="H586" s="34"/>
    </row>
    <row r="587" customFormat="false" ht="15.75" hidden="false" customHeight="true" outlineLevel="0" collapsed="false">
      <c r="H587" s="34"/>
    </row>
    <row r="588" customFormat="false" ht="15.75" hidden="false" customHeight="true" outlineLevel="0" collapsed="false">
      <c r="H588" s="34"/>
    </row>
    <row r="589" customFormat="false" ht="15.75" hidden="false" customHeight="true" outlineLevel="0" collapsed="false">
      <c r="H589" s="34"/>
    </row>
    <row r="590" customFormat="false" ht="15.75" hidden="false" customHeight="true" outlineLevel="0" collapsed="false">
      <c r="H590" s="34"/>
    </row>
    <row r="591" customFormat="false" ht="15.75" hidden="false" customHeight="true" outlineLevel="0" collapsed="false">
      <c r="H591" s="34"/>
    </row>
    <row r="592" customFormat="false" ht="15.75" hidden="false" customHeight="true" outlineLevel="0" collapsed="false">
      <c r="H592" s="34"/>
    </row>
    <row r="593" customFormat="false" ht="15.75" hidden="false" customHeight="true" outlineLevel="0" collapsed="false">
      <c r="H593" s="34"/>
    </row>
    <row r="594" customFormat="false" ht="15.75" hidden="false" customHeight="true" outlineLevel="0" collapsed="false">
      <c r="H594" s="34"/>
    </row>
    <row r="595" customFormat="false" ht="15.75" hidden="false" customHeight="true" outlineLevel="0" collapsed="false">
      <c r="H595" s="34"/>
    </row>
    <row r="596" customFormat="false" ht="15.75" hidden="false" customHeight="true" outlineLevel="0" collapsed="false">
      <c r="H596" s="34"/>
    </row>
    <row r="597" customFormat="false" ht="15.75" hidden="false" customHeight="true" outlineLevel="0" collapsed="false">
      <c r="H597" s="34"/>
    </row>
    <row r="598" customFormat="false" ht="15.75" hidden="false" customHeight="true" outlineLevel="0" collapsed="false">
      <c r="H598" s="34"/>
    </row>
    <row r="599" customFormat="false" ht="15.75" hidden="false" customHeight="true" outlineLevel="0" collapsed="false">
      <c r="H599" s="34"/>
    </row>
    <row r="600" customFormat="false" ht="15.75" hidden="false" customHeight="true" outlineLevel="0" collapsed="false">
      <c r="H600" s="34"/>
    </row>
    <row r="601" customFormat="false" ht="15.75" hidden="false" customHeight="true" outlineLevel="0" collapsed="false">
      <c r="H601" s="34"/>
    </row>
    <row r="602" customFormat="false" ht="15.75" hidden="false" customHeight="true" outlineLevel="0" collapsed="false">
      <c r="H602" s="34"/>
    </row>
    <row r="603" customFormat="false" ht="15.75" hidden="false" customHeight="true" outlineLevel="0" collapsed="false">
      <c r="H603" s="34"/>
    </row>
    <row r="604" customFormat="false" ht="15.75" hidden="false" customHeight="true" outlineLevel="0" collapsed="false">
      <c r="H604" s="34"/>
    </row>
    <row r="605" customFormat="false" ht="15.75" hidden="false" customHeight="true" outlineLevel="0" collapsed="false">
      <c r="H605" s="34"/>
    </row>
    <row r="606" customFormat="false" ht="15.75" hidden="false" customHeight="true" outlineLevel="0" collapsed="false">
      <c r="H606" s="34"/>
    </row>
    <row r="607" customFormat="false" ht="15.75" hidden="false" customHeight="true" outlineLevel="0" collapsed="false">
      <c r="H607" s="34"/>
    </row>
    <row r="608" customFormat="false" ht="15.75" hidden="false" customHeight="true" outlineLevel="0" collapsed="false">
      <c r="H608" s="34"/>
    </row>
    <row r="609" customFormat="false" ht="15.75" hidden="false" customHeight="true" outlineLevel="0" collapsed="false">
      <c r="H609" s="34"/>
    </row>
    <row r="610" customFormat="false" ht="15.75" hidden="false" customHeight="true" outlineLevel="0" collapsed="false">
      <c r="H610" s="34"/>
    </row>
    <row r="611" customFormat="false" ht="15.75" hidden="false" customHeight="true" outlineLevel="0" collapsed="false">
      <c r="H611" s="34"/>
    </row>
    <row r="612" customFormat="false" ht="15.75" hidden="false" customHeight="true" outlineLevel="0" collapsed="false">
      <c r="H612" s="34"/>
    </row>
    <row r="613" customFormat="false" ht="15.75" hidden="false" customHeight="true" outlineLevel="0" collapsed="false">
      <c r="H613" s="34"/>
    </row>
    <row r="614" customFormat="false" ht="15.75" hidden="false" customHeight="true" outlineLevel="0" collapsed="false">
      <c r="H614" s="34"/>
    </row>
    <row r="615" customFormat="false" ht="15.75" hidden="false" customHeight="true" outlineLevel="0" collapsed="false">
      <c r="H615" s="34"/>
    </row>
    <row r="616" customFormat="false" ht="15.75" hidden="false" customHeight="true" outlineLevel="0" collapsed="false">
      <c r="H616" s="34"/>
    </row>
    <row r="617" customFormat="false" ht="15.75" hidden="false" customHeight="true" outlineLevel="0" collapsed="false">
      <c r="H617" s="34"/>
    </row>
    <row r="618" customFormat="false" ht="15.75" hidden="false" customHeight="true" outlineLevel="0" collapsed="false">
      <c r="H618" s="34"/>
    </row>
    <row r="619" customFormat="false" ht="15.75" hidden="false" customHeight="true" outlineLevel="0" collapsed="false">
      <c r="H619" s="34"/>
    </row>
    <row r="620" customFormat="false" ht="15.75" hidden="false" customHeight="true" outlineLevel="0" collapsed="false">
      <c r="H620" s="34"/>
    </row>
    <row r="621" customFormat="false" ht="15.75" hidden="false" customHeight="true" outlineLevel="0" collapsed="false">
      <c r="H621" s="34"/>
    </row>
    <row r="622" customFormat="false" ht="15.75" hidden="false" customHeight="true" outlineLevel="0" collapsed="false">
      <c r="H622" s="34"/>
    </row>
    <row r="623" customFormat="false" ht="15.75" hidden="false" customHeight="true" outlineLevel="0" collapsed="false">
      <c r="H623" s="34"/>
    </row>
    <row r="624" customFormat="false" ht="15.75" hidden="false" customHeight="true" outlineLevel="0" collapsed="false">
      <c r="H624" s="34"/>
    </row>
    <row r="625" customFormat="false" ht="15.75" hidden="false" customHeight="true" outlineLevel="0" collapsed="false">
      <c r="H625" s="34"/>
    </row>
    <row r="626" customFormat="false" ht="15.75" hidden="false" customHeight="true" outlineLevel="0" collapsed="false">
      <c r="H626" s="34"/>
    </row>
    <row r="627" customFormat="false" ht="15.75" hidden="false" customHeight="true" outlineLevel="0" collapsed="false">
      <c r="H627" s="34"/>
    </row>
    <row r="628" customFormat="false" ht="15.75" hidden="false" customHeight="true" outlineLevel="0" collapsed="false">
      <c r="H628" s="34"/>
    </row>
    <row r="629" customFormat="false" ht="15.75" hidden="false" customHeight="true" outlineLevel="0" collapsed="false">
      <c r="H629" s="34"/>
    </row>
    <row r="630" customFormat="false" ht="15.75" hidden="false" customHeight="true" outlineLevel="0" collapsed="false">
      <c r="H630" s="34"/>
    </row>
    <row r="631" customFormat="false" ht="15.75" hidden="false" customHeight="true" outlineLevel="0" collapsed="false">
      <c r="H631" s="34"/>
    </row>
    <row r="632" customFormat="false" ht="15.75" hidden="false" customHeight="true" outlineLevel="0" collapsed="false">
      <c r="H632" s="34"/>
    </row>
    <row r="633" customFormat="false" ht="15.75" hidden="false" customHeight="true" outlineLevel="0" collapsed="false">
      <c r="H633" s="34"/>
    </row>
    <row r="634" customFormat="false" ht="15.75" hidden="false" customHeight="true" outlineLevel="0" collapsed="false">
      <c r="H634" s="34"/>
    </row>
    <row r="635" customFormat="false" ht="15.75" hidden="false" customHeight="true" outlineLevel="0" collapsed="false">
      <c r="H635" s="34"/>
    </row>
    <row r="636" customFormat="false" ht="15.75" hidden="false" customHeight="true" outlineLevel="0" collapsed="false">
      <c r="H636" s="34"/>
    </row>
    <row r="637" customFormat="false" ht="15.75" hidden="false" customHeight="true" outlineLevel="0" collapsed="false">
      <c r="H637" s="34"/>
    </row>
    <row r="638" customFormat="false" ht="15.75" hidden="false" customHeight="true" outlineLevel="0" collapsed="false">
      <c r="H638" s="34"/>
    </row>
    <row r="639" customFormat="false" ht="15.75" hidden="false" customHeight="true" outlineLevel="0" collapsed="false">
      <c r="H639" s="34"/>
    </row>
    <row r="640" customFormat="false" ht="15.75" hidden="false" customHeight="true" outlineLevel="0" collapsed="false">
      <c r="H640" s="34"/>
    </row>
    <row r="641" customFormat="false" ht="15.75" hidden="false" customHeight="true" outlineLevel="0" collapsed="false">
      <c r="H641" s="34"/>
    </row>
    <row r="642" customFormat="false" ht="15.75" hidden="false" customHeight="true" outlineLevel="0" collapsed="false">
      <c r="H642" s="34"/>
    </row>
    <row r="643" customFormat="false" ht="15.75" hidden="false" customHeight="true" outlineLevel="0" collapsed="false">
      <c r="H643" s="34"/>
    </row>
    <row r="644" customFormat="false" ht="15.75" hidden="false" customHeight="true" outlineLevel="0" collapsed="false">
      <c r="H644" s="34"/>
    </row>
    <row r="645" customFormat="false" ht="15.75" hidden="false" customHeight="true" outlineLevel="0" collapsed="false">
      <c r="H645" s="34"/>
    </row>
    <row r="646" customFormat="false" ht="15.75" hidden="false" customHeight="true" outlineLevel="0" collapsed="false">
      <c r="H646" s="34"/>
    </row>
    <row r="647" customFormat="false" ht="15.75" hidden="false" customHeight="true" outlineLevel="0" collapsed="false">
      <c r="H647" s="34"/>
    </row>
    <row r="648" customFormat="false" ht="15.75" hidden="false" customHeight="true" outlineLevel="0" collapsed="false">
      <c r="H648" s="34"/>
    </row>
    <row r="649" customFormat="false" ht="15.75" hidden="false" customHeight="true" outlineLevel="0" collapsed="false">
      <c r="H649" s="34"/>
    </row>
    <row r="650" customFormat="false" ht="15.75" hidden="false" customHeight="true" outlineLevel="0" collapsed="false">
      <c r="H650" s="34"/>
    </row>
    <row r="651" customFormat="false" ht="15.75" hidden="false" customHeight="true" outlineLevel="0" collapsed="false">
      <c r="H651" s="34"/>
    </row>
    <row r="652" customFormat="false" ht="15.75" hidden="false" customHeight="true" outlineLevel="0" collapsed="false">
      <c r="H652" s="34"/>
    </row>
    <row r="653" customFormat="false" ht="15.75" hidden="false" customHeight="true" outlineLevel="0" collapsed="false">
      <c r="H653" s="34"/>
    </row>
    <row r="654" customFormat="false" ht="15.75" hidden="false" customHeight="true" outlineLevel="0" collapsed="false">
      <c r="H654" s="34"/>
    </row>
    <row r="655" customFormat="false" ht="15.75" hidden="false" customHeight="true" outlineLevel="0" collapsed="false">
      <c r="H655" s="34"/>
    </row>
    <row r="656" customFormat="false" ht="15.75" hidden="false" customHeight="true" outlineLevel="0" collapsed="false">
      <c r="H656" s="34"/>
    </row>
    <row r="657" customFormat="false" ht="15.75" hidden="false" customHeight="true" outlineLevel="0" collapsed="false">
      <c r="H657" s="34"/>
    </row>
    <row r="658" customFormat="false" ht="15.75" hidden="false" customHeight="true" outlineLevel="0" collapsed="false">
      <c r="H658" s="34"/>
    </row>
    <row r="659" customFormat="false" ht="15.75" hidden="false" customHeight="true" outlineLevel="0" collapsed="false">
      <c r="H659" s="34"/>
    </row>
    <row r="660" customFormat="false" ht="15.75" hidden="false" customHeight="true" outlineLevel="0" collapsed="false">
      <c r="H660" s="34"/>
    </row>
    <row r="661" customFormat="false" ht="15.75" hidden="false" customHeight="true" outlineLevel="0" collapsed="false">
      <c r="H661" s="34"/>
    </row>
    <row r="662" customFormat="false" ht="15.75" hidden="false" customHeight="true" outlineLevel="0" collapsed="false">
      <c r="H662" s="34"/>
    </row>
    <row r="663" customFormat="false" ht="15.75" hidden="false" customHeight="true" outlineLevel="0" collapsed="false">
      <c r="H663" s="34"/>
    </row>
    <row r="664" customFormat="false" ht="15.75" hidden="false" customHeight="true" outlineLevel="0" collapsed="false">
      <c r="H664" s="34"/>
    </row>
    <row r="665" customFormat="false" ht="15.75" hidden="false" customHeight="true" outlineLevel="0" collapsed="false">
      <c r="H665" s="34"/>
    </row>
    <row r="666" customFormat="false" ht="15.75" hidden="false" customHeight="true" outlineLevel="0" collapsed="false">
      <c r="H666" s="34"/>
    </row>
    <row r="667" customFormat="false" ht="15.75" hidden="false" customHeight="true" outlineLevel="0" collapsed="false">
      <c r="H667" s="34"/>
    </row>
    <row r="668" customFormat="false" ht="15.75" hidden="false" customHeight="true" outlineLevel="0" collapsed="false">
      <c r="H668" s="34"/>
    </row>
    <row r="669" customFormat="false" ht="15.75" hidden="false" customHeight="true" outlineLevel="0" collapsed="false">
      <c r="H669" s="34"/>
    </row>
    <row r="670" customFormat="false" ht="15.75" hidden="false" customHeight="true" outlineLevel="0" collapsed="false">
      <c r="H670" s="34"/>
    </row>
    <row r="671" customFormat="false" ht="15.75" hidden="false" customHeight="true" outlineLevel="0" collapsed="false">
      <c r="H671" s="34"/>
    </row>
    <row r="672" customFormat="false" ht="15.75" hidden="false" customHeight="true" outlineLevel="0" collapsed="false">
      <c r="H672" s="34"/>
    </row>
    <row r="673" customFormat="false" ht="15.75" hidden="false" customHeight="true" outlineLevel="0" collapsed="false">
      <c r="H673" s="34"/>
    </row>
    <row r="674" customFormat="false" ht="15.75" hidden="false" customHeight="true" outlineLevel="0" collapsed="false">
      <c r="H674" s="34"/>
    </row>
    <row r="675" customFormat="false" ht="15.75" hidden="false" customHeight="true" outlineLevel="0" collapsed="false">
      <c r="H675" s="34"/>
    </row>
    <row r="676" customFormat="false" ht="15.75" hidden="false" customHeight="true" outlineLevel="0" collapsed="false">
      <c r="H676" s="34"/>
    </row>
    <row r="677" customFormat="false" ht="15.75" hidden="false" customHeight="true" outlineLevel="0" collapsed="false">
      <c r="H677" s="34"/>
    </row>
    <row r="678" customFormat="false" ht="15.75" hidden="false" customHeight="true" outlineLevel="0" collapsed="false">
      <c r="H678" s="34"/>
    </row>
    <row r="679" customFormat="false" ht="15.75" hidden="false" customHeight="true" outlineLevel="0" collapsed="false">
      <c r="H679" s="34"/>
    </row>
    <row r="680" customFormat="false" ht="15.75" hidden="false" customHeight="true" outlineLevel="0" collapsed="false">
      <c r="H680" s="34"/>
    </row>
    <row r="681" customFormat="false" ht="15.75" hidden="false" customHeight="true" outlineLevel="0" collapsed="false">
      <c r="H681" s="34"/>
    </row>
    <row r="682" customFormat="false" ht="15.75" hidden="false" customHeight="true" outlineLevel="0" collapsed="false">
      <c r="H682" s="34"/>
    </row>
    <row r="683" customFormat="false" ht="15.75" hidden="false" customHeight="true" outlineLevel="0" collapsed="false">
      <c r="H683" s="34"/>
    </row>
    <row r="684" customFormat="false" ht="15.75" hidden="false" customHeight="true" outlineLevel="0" collapsed="false">
      <c r="H684" s="34"/>
    </row>
    <row r="685" customFormat="false" ht="15.75" hidden="false" customHeight="true" outlineLevel="0" collapsed="false">
      <c r="H685" s="34"/>
    </row>
    <row r="686" customFormat="false" ht="15.75" hidden="false" customHeight="true" outlineLevel="0" collapsed="false">
      <c r="H686" s="34"/>
    </row>
    <row r="687" customFormat="false" ht="15.75" hidden="false" customHeight="true" outlineLevel="0" collapsed="false">
      <c r="H687" s="34"/>
    </row>
    <row r="688" customFormat="false" ht="15.75" hidden="false" customHeight="true" outlineLevel="0" collapsed="false">
      <c r="H688" s="34"/>
    </row>
    <row r="689" customFormat="false" ht="15.75" hidden="false" customHeight="true" outlineLevel="0" collapsed="false">
      <c r="H689" s="34"/>
    </row>
    <row r="690" customFormat="false" ht="15.75" hidden="false" customHeight="true" outlineLevel="0" collapsed="false">
      <c r="H690" s="34"/>
    </row>
    <row r="691" customFormat="false" ht="15.75" hidden="false" customHeight="true" outlineLevel="0" collapsed="false">
      <c r="H691" s="34"/>
    </row>
    <row r="692" customFormat="false" ht="15.75" hidden="false" customHeight="true" outlineLevel="0" collapsed="false">
      <c r="H692" s="34"/>
    </row>
    <row r="693" customFormat="false" ht="15.75" hidden="false" customHeight="true" outlineLevel="0" collapsed="false">
      <c r="H693" s="34"/>
    </row>
    <row r="694" customFormat="false" ht="15.75" hidden="false" customHeight="true" outlineLevel="0" collapsed="false">
      <c r="H694" s="34"/>
    </row>
    <row r="695" customFormat="false" ht="15.75" hidden="false" customHeight="true" outlineLevel="0" collapsed="false">
      <c r="H695" s="34"/>
    </row>
    <row r="696" customFormat="false" ht="15.75" hidden="false" customHeight="true" outlineLevel="0" collapsed="false">
      <c r="H696" s="34"/>
    </row>
    <row r="697" customFormat="false" ht="15.75" hidden="false" customHeight="true" outlineLevel="0" collapsed="false">
      <c r="H697" s="34"/>
    </row>
    <row r="698" customFormat="false" ht="15.75" hidden="false" customHeight="true" outlineLevel="0" collapsed="false">
      <c r="H698" s="34"/>
    </row>
    <row r="699" customFormat="false" ht="15.75" hidden="false" customHeight="true" outlineLevel="0" collapsed="false">
      <c r="H699" s="34"/>
    </row>
    <row r="700" customFormat="false" ht="15.75" hidden="false" customHeight="true" outlineLevel="0" collapsed="false">
      <c r="H700" s="34"/>
    </row>
    <row r="701" customFormat="false" ht="15.75" hidden="false" customHeight="true" outlineLevel="0" collapsed="false">
      <c r="H701" s="34"/>
    </row>
    <row r="702" customFormat="false" ht="15.75" hidden="false" customHeight="true" outlineLevel="0" collapsed="false">
      <c r="H702" s="34"/>
    </row>
    <row r="703" customFormat="false" ht="15.75" hidden="false" customHeight="true" outlineLevel="0" collapsed="false">
      <c r="H703" s="34"/>
    </row>
    <row r="704" customFormat="false" ht="15.75" hidden="false" customHeight="true" outlineLevel="0" collapsed="false">
      <c r="H704" s="34"/>
    </row>
    <row r="705" customFormat="false" ht="15.75" hidden="false" customHeight="true" outlineLevel="0" collapsed="false">
      <c r="H705" s="34"/>
    </row>
    <row r="706" customFormat="false" ht="15.75" hidden="false" customHeight="true" outlineLevel="0" collapsed="false">
      <c r="H706" s="34"/>
    </row>
    <row r="707" customFormat="false" ht="15.75" hidden="false" customHeight="true" outlineLevel="0" collapsed="false">
      <c r="H707" s="34"/>
    </row>
    <row r="708" customFormat="false" ht="15.75" hidden="false" customHeight="true" outlineLevel="0" collapsed="false">
      <c r="H708" s="34"/>
    </row>
    <row r="709" customFormat="false" ht="15.75" hidden="false" customHeight="true" outlineLevel="0" collapsed="false">
      <c r="H709" s="34"/>
    </row>
    <row r="710" customFormat="false" ht="15.75" hidden="false" customHeight="true" outlineLevel="0" collapsed="false">
      <c r="H710" s="34"/>
    </row>
    <row r="711" customFormat="false" ht="15.75" hidden="false" customHeight="true" outlineLevel="0" collapsed="false">
      <c r="H711" s="34"/>
    </row>
    <row r="712" customFormat="false" ht="15.75" hidden="false" customHeight="true" outlineLevel="0" collapsed="false">
      <c r="H712" s="34"/>
    </row>
    <row r="713" customFormat="false" ht="15.75" hidden="false" customHeight="true" outlineLevel="0" collapsed="false">
      <c r="H713" s="34"/>
    </row>
    <row r="714" customFormat="false" ht="15.75" hidden="false" customHeight="true" outlineLevel="0" collapsed="false">
      <c r="H714" s="34"/>
    </row>
    <row r="715" customFormat="false" ht="15.75" hidden="false" customHeight="true" outlineLevel="0" collapsed="false">
      <c r="H715" s="34"/>
    </row>
    <row r="716" customFormat="false" ht="15.75" hidden="false" customHeight="true" outlineLevel="0" collapsed="false">
      <c r="H716" s="34"/>
    </row>
    <row r="717" customFormat="false" ht="15.75" hidden="false" customHeight="true" outlineLevel="0" collapsed="false">
      <c r="H717" s="34"/>
    </row>
    <row r="718" customFormat="false" ht="15.75" hidden="false" customHeight="true" outlineLevel="0" collapsed="false">
      <c r="H718" s="34"/>
    </row>
    <row r="719" customFormat="false" ht="15.75" hidden="false" customHeight="true" outlineLevel="0" collapsed="false">
      <c r="H719" s="34"/>
    </row>
    <row r="720" customFormat="false" ht="15.75" hidden="false" customHeight="true" outlineLevel="0" collapsed="false">
      <c r="H720" s="34"/>
    </row>
    <row r="721" customFormat="false" ht="15.75" hidden="false" customHeight="true" outlineLevel="0" collapsed="false">
      <c r="H721" s="34"/>
    </row>
    <row r="722" customFormat="false" ht="15.75" hidden="false" customHeight="true" outlineLevel="0" collapsed="false">
      <c r="H722" s="34"/>
    </row>
    <row r="723" customFormat="false" ht="15.75" hidden="false" customHeight="true" outlineLevel="0" collapsed="false">
      <c r="H723" s="34"/>
    </row>
    <row r="724" customFormat="false" ht="15.75" hidden="false" customHeight="true" outlineLevel="0" collapsed="false">
      <c r="H724" s="34"/>
    </row>
    <row r="725" customFormat="false" ht="15.75" hidden="false" customHeight="true" outlineLevel="0" collapsed="false">
      <c r="H725" s="34"/>
    </row>
    <row r="726" customFormat="false" ht="15.75" hidden="false" customHeight="true" outlineLevel="0" collapsed="false">
      <c r="H726" s="34"/>
    </row>
    <row r="727" customFormat="false" ht="15.75" hidden="false" customHeight="true" outlineLevel="0" collapsed="false">
      <c r="H727" s="34"/>
    </row>
    <row r="728" customFormat="false" ht="15.75" hidden="false" customHeight="true" outlineLevel="0" collapsed="false">
      <c r="H728" s="34"/>
    </row>
    <row r="729" customFormat="false" ht="15.75" hidden="false" customHeight="true" outlineLevel="0" collapsed="false">
      <c r="H729" s="34"/>
    </row>
    <row r="730" customFormat="false" ht="15.75" hidden="false" customHeight="true" outlineLevel="0" collapsed="false">
      <c r="H730" s="34"/>
    </row>
    <row r="731" customFormat="false" ht="15.75" hidden="false" customHeight="true" outlineLevel="0" collapsed="false">
      <c r="H731" s="34"/>
    </row>
    <row r="732" customFormat="false" ht="15.75" hidden="false" customHeight="true" outlineLevel="0" collapsed="false">
      <c r="H732" s="34"/>
    </row>
    <row r="733" customFormat="false" ht="15.75" hidden="false" customHeight="true" outlineLevel="0" collapsed="false">
      <c r="H733" s="34"/>
    </row>
    <row r="734" customFormat="false" ht="15.75" hidden="false" customHeight="true" outlineLevel="0" collapsed="false">
      <c r="H734" s="34"/>
    </row>
    <row r="735" customFormat="false" ht="15.75" hidden="false" customHeight="true" outlineLevel="0" collapsed="false">
      <c r="H735" s="34"/>
    </row>
    <row r="736" customFormat="false" ht="15.75" hidden="false" customHeight="true" outlineLevel="0" collapsed="false">
      <c r="H736" s="34"/>
    </row>
    <row r="737" customFormat="false" ht="15.75" hidden="false" customHeight="true" outlineLevel="0" collapsed="false">
      <c r="H737" s="34"/>
    </row>
    <row r="738" customFormat="false" ht="15.75" hidden="false" customHeight="true" outlineLevel="0" collapsed="false">
      <c r="H738" s="34"/>
    </row>
    <row r="739" customFormat="false" ht="15.75" hidden="false" customHeight="true" outlineLevel="0" collapsed="false">
      <c r="H739" s="34"/>
    </row>
    <row r="740" customFormat="false" ht="15.75" hidden="false" customHeight="true" outlineLevel="0" collapsed="false">
      <c r="H740" s="34"/>
    </row>
    <row r="741" customFormat="false" ht="15.75" hidden="false" customHeight="true" outlineLevel="0" collapsed="false">
      <c r="H741" s="34"/>
    </row>
    <row r="742" customFormat="false" ht="15.75" hidden="false" customHeight="true" outlineLevel="0" collapsed="false">
      <c r="H742" s="34"/>
    </row>
    <row r="743" customFormat="false" ht="15.75" hidden="false" customHeight="true" outlineLevel="0" collapsed="false">
      <c r="H743" s="34"/>
    </row>
    <row r="744" customFormat="false" ht="15.75" hidden="false" customHeight="true" outlineLevel="0" collapsed="false">
      <c r="H744" s="34"/>
    </row>
    <row r="745" customFormat="false" ht="15.75" hidden="false" customHeight="true" outlineLevel="0" collapsed="false">
      <c r="H745" s="34"/>
    </row>
    <row r="746" customFormat="false" ht="15.75" hidden="false" customHeight="true" outlineLevel="0" collapsed="false">
      <c r="H746" s="34"/>
    </row>
    <row r="747" customFormat="false" ht="15.75" hidden="false" customHeight="true" outlineLevel="0" collapsed="false">
      <c r="H747" s="34"/>
    </row>
    <row r="748" customFormat="false" ht="15.75" hidden="false" customHeight="true" outlineLevel="0" collapsed="false">
      <c r="H748" s="34"/>
    </row>
    <row r="749" customFormat="false" ht="15.75" hidden="false" customHeight="true" outlineLevel="0" collapsed="false">
      <c r="H749" s="34"/>
    </row>
    <row r="750" customFormat="false" ht="15.75" hidden="false" customHeight="true" outlineLevel="0" collapsed="false">
      <c r="H750" s="34"/>
    </row>
    <row r="751" customFormat="false" ht="15.75" hidden="false" customHeight="true" outlineLevel="0" collapsed="false">
      <c r="H751" s="34"/>
    </row>
    <row r="752" customFormat="false" ht="15.75" hidden="false" customHeight="true" outlineLevel="0" collapsed="false">
      <c r="H752" s="34"/>
    </row>
    <row r="753" customFormat="false" ht="15.75" hidden="false" customHeight="true" outlineLevel="0" collapsed="false">
      <c r="H753" s="34"/>
    </row>
    <row r="754" customFormat="false" ht="15.75" hidden="false" customHeight="true" outlineLevel="0" collapsed="false">
      <c r="H754" s="34"/>
    </row>
    <row r="755" customFormat="false" ht="15.75" hidden="false" customHeight="true" outlineLevel="0" collapsed="false">
      <c r="H755" s="34"/>
    </row>
    <row r="756" customFormat="false" ht="15.75" hidden="false" customHeight="true" outlineLevel="0" collapsed="false">
      <c r="H756" s="34"/>
    </row>
    <row r="757" customFormat="false" ht="15.75" hidden="false" customHeight="true" outlineLevel="0" collapsed="false">
      <c r="H757" s="34"/>
    </row>
    <row r="758" customFormat="false" ht="15.75" hidden="false" customHeight="true" outlineLevel="0" collapsed="false">
      <c r="H758" s="34"/>
    </row>
    <row r="759" customFormat="false" ht="15.75" hidden="false" customHeight="true" outlineLevel="0" collapsed="false">
      <c r="H759" s="34"/>
    </row>
    <row r="760" customFormat="false" ht="15.75" hidden="false" customHeight="true" outlineLevel="0" collapsed="false">
      <c r="H760" s="34"/>
    </row>
    <row r="761" customFormat="false" ht="15.75" hidden="false" customHeight="true" outlineLevel="0" collapsed="false">
      <c r="H761" s="34"/>
    </row>
    <row r="762" customFormat="false" ht="15.75" hidden="false" customHeight="true" outlineLevel="0" collapsed="false">
      <c r="H762" s="34"/>
    </row>
    <row r="763" customFormat="false" ht="15.75" hidden="false" customHeight="true" outlineLevel="0" collapsed="false">
      <c r="H763" s="34"/>
    </row>
    <row r="764" customFormat="false" ht="15.75" hidden="false" customHeight="true" outlineLevel="0" collapsed="false">
      <c r="H764" s="34"/>
    </row>
    <row r="765" customFormat="false" ht="15.75" hidden="false" customHeight="true" outlineLevel="0" collapsed="false">
      <c r="H765" s="34"/>
    </row>
    <row r="766" customFormat="false" ht="15.75" hidden="false" customHeight="true" outlineLevel="0" collapsed="false">
      <c r="H766" s="34"/>
    </row>
    <row r="767" customFormat="false" ht="15.75" hidden="false" customHeight="true" outlineLevel="0" collapsed="false">
      <c r="H767" s="34"/>
    </row>
    <row r="768" customFormat="false" ht="15.75" hidden="false" customHeight="true" outlineLevel="0" collapsed="false">
      <c r="H768" s="34"/>
    </row>
    <row r="769" customFormat="false" ht="15.75" hidden="false" customHeight="true" outlineLevel="0" collapsed="false">
      <c r="H769" s="34"/>
    </row>
    <row r="770" customFormat="false" ht="15.75" hidden="false" customHeight="true" outlineLevel="0" collapsed="false">
      <c r="H770" s="34"/>
    </row>
    <row r="771" customFormat="false" ht="15.75" hidden="false" customHeight="true" outlineLevel="0" collapsed="false">
      <c r="H771" s="34"/>
    </row>
    <row r="772" customFormat="false" ht="15.75" hidden="false" customHeight="true" outlineLevel="0" collapsed="false">
      <c r="H772" s="34"/>
    </row>
    <row r="773" customFormat="false" ht="15.75" hidden="false" customHeight="true" outlineLevel="0" collapsed="false">
      <c r="H773" s="34"/>
    </row>
    <row r="774" customFormat="false" ht="15.75" hidden="false" customHeight="true" outlineLevel="0" collapsed="false">
      <c r="H774" s="34"/>
    </row>
    <row r="775" customFormat="false" ht="15.75" hidden="false" customHeight="true" outlineLevel="0" collapsed="false">
      <c r="H775" s="34"/>
    </row>
    <row r="776" customFormat="false" ht="15.75" hidden="false" customHeight="true" outlineLevel="0" collapsed="false">
      <c r="H776" s="34"/>
    </row>
    <row r="777" customFormat="false" ht="15.75" hidden="false" customHeight="true" outlineLevel="0" collapsed="false">
      <c r="H777" s="34"/>
    </row>
    <row r="778" customFormat="false" ht="15.75" hidden="false" customHeight="true" outlineLevel="0" collapsed="false">
      <c r="H778" s="34"/>
    </row>
    <row r="779" customFormat="false" ht="15.75" hidden="false" customHeight="true" outlineLevel="0" collapsed="false">
      <c r="H779" s="34"/>
    </row>
    <row r="780" customFormat="false" ht="15.75" hidden="false" customHeight="true" outlineLevel="0" collapsed="false">
      <c r="H780" s="34"/>
    </row>
    <row r="781" customFormat="false" ht="15.75" hidden="false" customHeight="true" outlineLevel="0" collapsed="false">
      <c r="H781" s="34"/>
    </row>
    <row r="782" customFormat="false" ht="15.75" hidden="false" customHeight="true" outlineLevel="0" collapsed="false">
      <c r="H782" s="34"/>
    </row>
    <row r="783" customFormat="false" ht="15.75" hidden="false" customHeight="true" outlineLevel="0" collapsed="false">
      <c r="H783" s="34"/>
    </row>
    <row r="784" customFormat="false" ht="15.75" hidden="false" customHeight="true" outlineLevel="0" collapsed="false">
      <c r="H784" s="34"/>
    </row>
    <row r="785" customFormat="false" ht="15.75" hidden="false" customHeight="true" outlineLevel="0" collapsed="false">
      <c r="H785" s="34"/>
    </row>
    <row r="786" customFormat="false" ht="15.75" hidden="false" customHeight="true" outlineLevel="0" collapsed="false">
      <c r="H786" s="34"/>
    </row>
    <row r="787" customFormat="false" ht="15.75" hidden="false" customHeight="true" outlineLevel="0" collapsed="false">
      <c r="H787" s="34"/>
    </row>
    <row r="788" customFormat="false" ht="15.75" hidden="false" customHeight="true" outlineLevel="0" collapsed="false">
      <c r="H788" s="34"/>
    </row>
    <row r="789" customFormat="false" ht="15.75" hidden="false" customHeight="true" outlineLevel="0" collapsed="false">
      <c r="H789" s="34"/>
    </row>
    <row r="790" customFormat="false" ht="15.75" hidden="false" customHeight="true" outlineLevel="0" collapsed="false">
      <c r="H790" s="34"/>
    </row>
    <row r="791" customFormat="false" ht="15.75" hidden="false" customHeight="true" outlineLevel="0" collapsed="false">
      <c r="H791" s="34"/>
    </row>
    <row r="792" customFormat="false" ht="15.75" hidden="false" customHeight="true" outlineLevel="0" collapsed="false">
      <c r="H792" s="34"/>
    </row>
    <row r="793" customFormat="false" ht="15.75" hidden="false" customHeight="true" outlineLevel="0" collapsed="false">
      <c r="H793" s="34"/>
    </row>
    <row r="794" customFormat="false" ht="15.75" hidden="false" customHeight="true" outlineLevel="0" collapsed="false">
      <c r="H794" s="34"/>
    </row>
    <row r="795" customFormat="false" ht="15.75" hidden="false" customHeight="true" outlineLevel="0" collapsed="false">
      <c r="H795" s="34"/>
    </row>
    <row r="796" customFormat="false" ht="15.75" hidden="false" customHeight="true" outlineLevel="0" collapsed="false">
      <c r="H796" s="34"/>
    </row>
    <row r="797" customFormat="false" ht="15.75" hidden="false" customHeight="true" outlineLevel="0" collapsed="false">
      <c r="H797" s="34"/>
    </row>
    <row r="798" customFormat="false" ht="15.75" hidden="false" customHeight="true" outlineLevel="0" collapsed="false">
      <c r="H798" s="34"/>
    </row>
    <row r="799" customFormat="false" ht="15.75" hidden="false" customHeight="true" outlineLevel="0" collapsed="false">
      <c r="H799" s="34"/>
    </row>
    <row r="800" customFormat="false" ht="15.75" hidden="false" customHeight="true" outlineLevel="0" collapsed="false">
      <c r="H800" s="34"/>
    </row>
    <row r="801" customFormat="false" ht="15.75" hidden="false" customHeight="true" outlineLevel="0" collapsed="false">
      <c r="H801" s="34"/>
    </row>
    <row r="802" customFormat="false" ht="15.75" hidden="false" customHeight="true" outlineLevel="0" collapsed="false">
      <c r="H802" s="34"/>
    </row>
    <row r="803" customFormat="false" ht="15.75" hidden="false" customHeight="true" outlineLevel="0" collapsed="false">
      <c r="H803" s="34"/>
    </row>
    <row r="804" customFormat="false" ht="15.75" hidden="false" customHeight="true" outlineLevel="0" collapsed="false">
      <c r="H804" s="34"/>
    </row>
    <row r="805" customFormat="false" ht="15.75" hidden="false" customHeight="true" outlineLevel="0" collapsed="false">
      <c r="H805" s="34"/>
    </row>
    <row r="806" customFormat="false" ht="15.75" hidden="false" customHeight="true" outlineLevel="0" collapsed="false">
      <c r="H806" s="34"/>
    </row>
    <row r="807" customFormat="false" ht="15.75" hidden="false" customHeight="true" outlineLevel="0" collapsed="false">
      <c r="H807" s="34"/>
    </row>
    <row r="808" customFormat="false" ht="15.75" hidden="false" customHeight="true" outlineLevel="0" collapsed="false">
      <c r="H808" s="34"/>
    </row>
    <row r="809" customFormat="false" ht="15.75" hidden="false" customHeight="true" outlineLevel="0" collapsed="false">
      <c r="H809" s="34"/>
    </row>
    <row r="810" customFormat="false" ht="15.75" hidden="false" customHeight="true" outlineLevel="0" collapsed="false">
      <c r="H810" s="34"/>
    </row>
    <row r="811" customFormat="false" ht="15.75" hidden="false" customHeight="true" outlineLevel="0" collapsed="false">
      <c r="H811" s="34"/>
    </row>
    <row r="812" customFormat="false" ht="15.75" hidden="false" customHeight="true" outlineLevel="0" collapsed="false">
      <c r="H812" s="34"/>
    </row>
    <row r="813" customFormat="false" ht="15.75" hidden="false" customHeight="true" outlineLevel="0" collapsed="false">
      <c r="H813" s="34"/>
    </row>
    <row r="814" customFormat="false" ht="15.75" hidden="false" customHeight="true" outlineLevel="0" collapsed="false">
      <c r="H814" s="34"/>
    </row>
    <row r="815" customFormat="false" ht="15.75" hidden="false" customHeight="true" outlineLevel="0" collapsed="false">
      <c r="H815" s="34"/>
    </row>
    <row r="816" customFormat="false" ht="15.75" hidden="false" customHeight="true" outlineLevel="0" collapsed="false">
      <c r="H816" s="34"/>
    </row>
    <row r="817" customFormat="false" ht="15.75" hidden="false" customHeight="true" outlineLevel="0" collapsed="false">
      <c r="H817" s="34"/>
    </row>
    <row r="818" customFormat="false" ht="15.75" hidden="false" customHeight="true" outlineLevel="0" collapsed="false">
      <c r="H818" s="34"/>
    </row>
    <row r="819" customFormat="false" ht="15.75" hidden="false" customHeight="true" outlineLevel="0" collapsed="false">
      <c r="H819" s="34"/>
    </row>
    <row r="820" customFormat="false" ht="15.75" hidden="false" customHeight="true" outlineLevel="0" collapsed="false">
      <c r="H820" s="34"/>
    </row>
    <row r="821" customFormat="false" ht="15.75" hidden="false" customHeight="true" outlineLevel="0" collapsed="false">
      <c r="H821" s="34"/>
    </row>
    <row r="822" customFormat="false" ht="15.75" hidden="false" customHeight="true" outlineLevel="0" collapsed="false">
      <c r="H822" s="34"/>
    </row>
    <row r="823" customFormat="false" ht="15.75" hidden="false" customHeight="true" outlineLevel="0" collapsed="false">
      <c r="H823" s="34"/>
    </row>
    <row r="824" customFormat="false" ht="15.75" hidden="false" customHeight="true" outlineLevel="0" collapsed="false">
      <c r="H824" s="34"/>
    </row>
    <row r="825" customFormat="false" ht="15.75" hidden="false" customHeight="true" outlineLevel="0" collapsed="false">
      <c r="H825" s="34"/>
    </row>
    <row r="826" customFormat="false" ht="15.75" hidden="false" customHeight="true" outlineLevel="0" collapsed="false">
      <c r="H826" s="34"/>
    </row>
    <row r="827" customFormat="false" ht="15.75" hidden="false" customHeight="true" outlineLevel="0" collapsed="false">
      <c r="H827" s="34"/>
    </row>
    <row r="828" customFormat="false" ht="15.75" hidden="false" customHeight="true" outlineLevel="0" collapsed="false">
      <c r="H828" s="34"/>
    </row>
    <row r="829" customFormat="false" ht="15.75" hidden="false" customHeight="true" outlineLevel="0" collapsed="false">
      <c r="H829" s="34"/>
    </row>
    <row r="830" customFormat="false" ht="15.75" hidden="false" customHeight="true" outlineLevel="0" collapsed="false">
      <c r="H830" s="34"/>
    </row>
    <row r="831" customFormat="false" ht="15.75" hidden="false" customHeight="true" outlineLevel="0" collapsed="false">
      <c r="H831" s="34"/>
    </row>
    <row r="832" customFormat="false" ht="15.75" hidden="false" customHeight="true" outlineLevel="0" collapsed="false">
      <c r="H832" s="34"/>
    </row>
    <row r="833" customFormat="false" ht="15.75" hidden="false" customHeight="true" outlineLevel="0" collapsed="false">
      <c r="H833" s="34"/>
    </row>
    <row r="834" customFormat="false" ht="15.75" hidden="false" customHeight="true" outlineLevel="0" collapsed="false">
      <c r="H834" s="34"/>
    </row>
    <row r="835" customFormat="false" ht="15.75" hidden="false" customHeight="true" outlineLevel="0" collapsed="false">
      <c r="H835" s="34"/>
    </row>
    <row r="836" customFormat="false" ht="15.75" hidden="false" customHeight="true" outlineLevel="0" collapsed="false">
      <c r="H836" s="34"/>
    </row>
    <row r="837" customFormat="false" ht="15.75" hidden="false" customHeight="true" outlineLevel="0" collapsed="false">
      <c r="H837" s="34"/>
    </row>
    <row r="838" customFormat="false" ht="15.75" hidden="false" customHeight="true" outlineLevel="0" collapsed="false">
      <c r="H838" s="34"/>
    </row>
    <row r="839" customFormat="false" ht="15.75" hidden="false" customHeight="true" outlineLevel="0" collapsed="false">
      <c r="H839" s="34"/>
    </row>
    <row r="840" customFormat="false" ht="15.75" hidden="false" customHeight="true" outlineLevel="0" collapsed="false">
      <c r="H840" s="34"/>
    </row>
    <row r="841" customFormat="false" ht="15.75" hidden="false" customHeight="true" outlineLevel="0" collapsed="false">
      <c r="H841" s="34"/>
    </row>
    <row r="842" customFormat="false" ht="15.75" hidden="false" customHeight="true" outlineLevel="0" collapsed="false">
      <c r="H842" s="34"/>
    </row>
    <row r="843" customFormat="false" ht="15.75" hidden="false" customHeight="true" outlineLevel="0" collapsed="false">
      <c r="H843" s="34"/>
    </row>
    <row r="844" customFormat="false" ht="15.75" hidden="false" customHeight="true" outlineLevel="0" collapsed="false">
      <c r="H844" s="34"/>
    </row>
    <row r="845" customFormat="false" ht="15.75" hidden="false" customHeight="true" outlineLevel="0" collapsed="false">
      <c r="H845" s="34"/>
    </row>
    <row r="846" customFormat="false" ht="15.75" hidden="false" customHeight="true" outlineLevel="0" collapsed="false">
      <c r="H846" s="34"/>
    </row>
    <row r="847" customFormat="false" ht="15.75" hidden="false" customHeight="true" outlineLevel="0" collapsed="false">
      <c r="H847" s="34"/>
    </row>
    <row r="848" customFormat="false" ht="15.75" hidden="false" customHeight="true" outlineLevel="0" collapsed="false">
      <c r="H848" s="34"/>
    </row>
    <row r="849" customFormat="false" ht="15.75" hidden="false" customHeight="true" outlineLevel="0" collapsed="false">
      <c r="H849" s="34"/>
    </row>
    <row r="850" customFormat="false" ht="15.75" hidden="false" customHeight="true" outlineLevel="0" collapsed="false">
      <c r="H850" s="34"/>
    </row>
    <row r="851" customFormat="false" ht="15.75" hidden="false" customHeight="true" outlineLevel="0" collapsed="false">
      <c r="H851" s="34"/>
    </row>
    <row r="852" customFormat="false" ht="15.75" hidden="false" customHeight="true" outlineLevel="0" collapsed="false">
      <c r="H852" s="34"/>
    </row>
    <row r="853" customFormat="false" ht="15.75" hidden="false" customHeight="true" outlineLevel="0" collapsed="false">
      <c r="H853" s="34"/>
    </row>
    <row r="854" customFormat="false" ht="15.75" hidden="false" customHeight="true" outlineLevel="0" collapsed="false">
      <c r="H854" s="34"/>
    </row>
    <row r="855" customFormat="false" ht="15.75" hidden="false" customHeight="true" outlineLevel="0" collapsed="false">
      <c r="H855" s="34"/>
    </row>
    <row r="856" customFormat="false" ht="15.75" hidden="false" customHeight="true" outlineLevel="0" collapsed="false">
      <c r="H856" s="34"/>
    </row>
    <row r="857" customFormat="false" ht="15.75" hidden="false" customHeight="true" outlineLevel="0" collapsed="false">
      <c r="H857" s="34"/>
    </row>
    <row r="858" customFormat="false" ht="15.75" hidden="false" customHeight="true" outlineLevel="0" collapsed="false">
      <c r="H858" s="34"/>
    </row>
    <row r="859" customFormat="false" ht="15.75" hidden="false" customHeight="true" outlineLevel="0" collapsed="false">
      <c r="H859" s="34"/>
    </row>
    <row r="860" customFormat="false" ht="15.75" hidden="false" customHeight="true" outlineLevel="0" collapsed="false">
      <c r="H860" s="34"/>
    </row>
    <row r="861" customFormat="false" ht="15.75" hidden="false" customHeight="true" outlineLevel="0" collapsed="false">
      <c r="H861" s="34"/>
    </row>
    <row r="862" customFormat="false" ht="15.75" hidden="false" customHeight="true" outlineLevel="0" collapsed="false">
      <c r="H862" s="34"/>
    </row>
    <row r="863" customFormat="false" ht="15.75" hidden="false" customHeight="true" outlineLevel="0" collapsed="false">
      <c r="H863" s="34"/>
    </row>
    <row r="864" customFormat="false" ht="15.75" hidden="false" customHeight="true" outlineLevel="0" collapsed="false">
      <c r="H864" s="34"/>
    </row>
    <row r="865" customFormat="false" ht="15.75" hidden="false" customHeight="true" outlineLevel="0" collapsed="false">
      <c r="H865" s="34"/>
    </row>
    <row r="866" customFormat="false" ht="15.75" hidden="false" customHeight="true" outlineLevel="0" collapsed="false">
      <c r="H866" s="34"/>
    </row>
    <row r="867" customFormat="false" ht="15.75" hidden="false" customHeight="true" outlineLevel="0" collapsed="false">
      <c r="H867" s="34"/>
    </row>
    <row r="868" customFormat="false" ht="15.75" hidden="false" customHeight="true" outlineLevel="0" collapsed="false">
      <c r="H868" s="34"/>
    </row>
    <row r="869" customFormat="false" ht="15.75" hidden="false" customHeight="true" outlineLevel="0" collapsed="false">
      <c r="H869" s="34"/>
    </row>
    <row r="870" customFormat="false" ht="15.75" hidden="false" customHeight="true" outlineLevel="0" collapsed="false">
      <c r="H870" s="34"/>
    </row>
    <row r="871" customFormat="false" ht="15.75" hidden="false" customHeight="true" outlineLevel="0" collapsed="false">
      <c r="H871" s="34"/>
    </row>
    <row r="872" customFormat="false" ht="15.75" hidden="false" customHeight="true" outlineLevel="0" collapsed="false">
      <c r="H872" s="34"/>
    </row>
    <row r="873" customFormat="false" ht="15.75" hidden="false" customHeight="true" outlineLevel="0" collapsed="false">
      <c r="H873" s="34"/>
    </row>
    <row r="874" customFormat="false" ht="15.75" hidden="false" customHeight="true" outlineLevel="0" collapsed="false">
      <c r="H874" s="34"/>
    </row>
    <row r="875" customFormat="false" ht="15.75" hidden="false" customHeight="true" outlineLevel="0" collapsed="false">
      <c r="H875" s="34"/>
    </row>
    <row r="876" customFormat="false" ht="15.75" hidden="false" customHeight="true" outlineLevel="0" collapsed="false">
      <c r="H876" s="34"/>
    </row>
    <row r="877" customFormat="false" ht="15.75" hidden="false" customHeight="true" outlineLevel="0" collapsed="false">
      <c r="H877" s="34"/>
    </row>
    <row r="878" customFormat="false" ht="15.75" hidden="false" customHeight="true" outlineLevel="0" collapsed="false">
      <c r="H878" s="34"/>
    </row>
    <row r="879" customFormat="false" ht="15.75" hidden="false" customHeight="true" outlineLevel="0" collapsed="false">
      <c r="H879" s="34"/>
    </row>
    <row r="880" customFormat="false" ht="15.75" hidden="false" customHeight="true" outlineLevel="0" collapsed="false">
      <c r="H880" s="34"/>
    </row>
    <row r="881" customFormat="false" ht="15.75" hidden="false" customHeight="true" outlineLevel="0" collapsed="false">
      <c r="H881" s="34"/>
    </row>
    <row r="882" customFormat="false" ht="15.75" hidden="false" customHeight="true" outlineLevel="0" collapsed="false">
      <c r="H882" s="34"/>
    </row>
    <row r="883" customFormat="false" ht="15.75" hidden="false" customHeight="true" outlineLevel="0" collapsed="false">
      <c r="H883" s="34"/>
    </row>
    <row r="884" customFormat="false" ht="15.75" hidden="false" customHeight="true" outlineLevel="0" collapsed="false">
      <c r="H884" s="34"/>
    </row>
    <row r="885" customFormat="false" ht="15.75" hidden="false" customHeight="true" outlineLevel="0" collapsed="false">
      <c r="H885" s="34"/>
    </row>
    <row r="886" customFormat="false" ht="15.75" hidden="false" customHeight="true" outlineLevel="0" collapsed="false">
      <c r="H886" s="34"/>
    </row>
    <row r="887" customFormat="false" ht="15.75" hidden="false" customHeight="true" outlineLevel="0" collapsed="false">
      <c r="H887" s="34"/>
    </row>
    <row r="888" customFormat="false" ht="15.75" hidden="false" customHeight="true" outlineLevel="0" collapsed="false">
      <c r="H888" s="34"/>
    </row>
    <row r="889" customFormat="false" ht="15.75" hidden="false" customHeight="true" outlineLevel="0" collapsed="false">
      <c r="H889" s="34"/>
    </row>
    <row r="890" customFormat="false" ht="15.75" hidden="false" customHeight="true" outlineLevel="0" collapsed="false">
      <c r="H890" s="34"/>
    </row>
    <row r="891" customFormat="false" ht="15.75" hidden="false" customHeight="true" outlineLevel="0" collapsed="false">
      <c r="H891" s="34"/>
    </row>
    <row r="892" customFormat="false" ht="15.75" hidden="false" customHeight="true" outlineLevel="0" collapsed="false">
      <c r="H892" s="34"/>
    </row>
    <row r="893" customFormat="false" ht="15.75" hidden="false" customHeight="true" outlineLevel="0" collapsed="false">
      <c r="H893" s="34"/>
    </row>
    <row r="894" customFormat="false" ht="15.75" hidden="false" customHeight="true" outlineLevel="0" collapsed="false">
      <c r="H894" s="34"/>
    </row>
    <row r="895" customFormat="false" ht="15.75" hidden="false" customHeight="true" outlineLevel="0" collapsed="false">
      <c r="H895" s="34"/>
    </row>
    <row r="896" customFormat="false" ht="15.75" hidden="false" customHeight="true" outlineLevel="0" collapsed="false">
      <c r="H896" s="34"/>
    </row>
    <row r="897" customFormat="false" ht="15.75" hidden="false" customHeight="true" outlineLevel="0" collapsed="false">
      <c r="H897" s="34"/>
    </row>
    <row r="898" customFormat="false" ht="15.75" hidden="false" customHeight="true" outlineLevel="0" collapsed="false">
      <c r="H898" s="34"/>
    </row>
    <row r="899" customFormat="false" ht="15.75" hidden="false" customHeight="true" outlineLevel="0" collapsed="false">
      <c r="H899" s="34"/>
    </row>
    <row r="900" customFormat="false" ht="15.75" hidden="false" customHeight="true" outlineLevel="0" collapsed="false">
      <c r="H900" s="34"/>
    </row>
    <row r="901" customFormat="false" ht="15.75" hidden="false" customHeight="true" outlineLevel="0" collapsed="false">
      <c r="H901" s="34"/>
    </row>
    <row r="902" customFormat="false" ht="15.75" hidden="false" customHeight="true" outlineLevel="0" collapsed="false">
      <c r="H902" s="34"/>
    </row>
    <row r="903" customFormat="false" ht="15.75" hidden="false" customHeight="true" outlineLevel="0" collapsed="false">
      <c r="H903" s="34"/>
    </row>
    <row r="904" customFormat="false" ht="15.75" hidden="false" customHeight="true" outlineLevel="0" collapsed="false">
      <c r="H904" s="34"/>
    </row>
    <row r="905" customFormat="false" ht="15.75" hidden="false" customHeight="true" outlineLevel="0" collapsed="false">
      <c r="H905" s="34"/>
    </row>
    <row r="906" customFormat="false" ht="15.75" hidden="false" customHeight="true" outlineLevel="0" collapsed="false">
      <c r="H906" s="34"/>
    </row>
    <row r="907" customFormat="false" ht="15.75" hidden="false" customHeight="true" outlineLevel="0" collapsed="false">
      <c r="H907" s="34"/>
    </row>
    <row r="908" customFormat="false" ht="15.75" hidden="false" customHeight="true" outlineLevel="0" collapsed="false">
      <c r="H908" s="34"/>
    </row>
    <row r="909" customFormat="false" ht="15.75" hidden="false" customHeight="true" outlineLevel="0" collapsed="false">
      <c r="H909" s="34"/>
    </row>
    <row r="910" customFormat="false" ht="15.75" hidden="false" customHeight="true" outlineLevel="0" collapsed="false">
      <c r="H910" s="34"/>
    </row>
    <row r="911" customFormat="false" ht="15.75" hidden="false" customHeight="true" outlineLevel="0" collapsed="false">
      <c r="H911" s="34"/>
    </row>
    <row r="912" customFormat="false" ht="15.75" hidden="false" customHeight="true" outlineLevel="0" collapsed="false">
      <c r="H912" s="34"/>
    </row>
    <row r="913" customFormat="false" ht="15.75" hidden="false" customHeight="true" outlineLevel="0" collapsed="false">
      <c r="H913" s="34"/>
    </row>
    <row r="914" customFormat="false" ht="15.75" hidden="false" customHeight="true" outlineLevel="0" collapsed="false">
      <c r="H914" s="34"/>
    </row>
    <row r="915" customFormat="false" ht="15.75" hidden="false" customHeight="true" outlineLevel="0" collapsed="false">
      <c r="H915" s="34"/>
    </row>
    <row r="916" customFormat="false" ht="15.75" hidden="false" customHeight="true" outlineLevel="0" collapsed="false">
      <c r="H916" s="34"/>
    </row>
    <row r="917" customFormat="false" ht="15.75" hidden="false" customHeight="true" outlineLevel="0" collapsed="false">
      <c r="H917" s="34"/>
    </row>
    <row r="918" customFormat="false" ht="15.75" hidden="false" customHeight="true" outlineLevel="0" collapsed="false">
      <c r="H918" s="34"/>
    </row>
    <row r="919" customFormat="false" ht="15.75" hidden="false" customHeight="true" outlineLevel="0" collapsed="false">
      <c r="H919" s="34"/>
    </row>
    <row r="920" customFormat="false" ht="15.75" hidden="false" customHeight="true" outlineLevel="0" collapsed="false">
      <c r="H920" s="34"/>
    </row>
    <row r="921" customFormat="false" ht="15.75" hidden="false" customHeight="true" outlineLevel="0" collapsed="false">
      <c r="H921" s="34"/>
    </row>
    <row r="922" customFormat="false" ht="15.75" hidden="false" customHeight="true" outlineLevel="0" collapsed="false">
      <c r="H922" s="34"/>
    </row>
    <row r="923" customFormat="false" ht="15.75" hidden="false" customHeight="true" outlineLevel="0" collapsed="false">
      <c r="H923" s="34"/>
    </row>
    <row r="924" customFormat="false" ht="15.75" hidden="false" customHeight="true" outlineLevel="0" collapsed="false">
      <c r="H924" s="34"/>
    </row>
    <row r="925" customFormat="false" ht="15.75" hidden="false" customHeight="true" outlineLevel="0" collapsed="false">
      <c r="H925" s="34"/>
    </row>
    <row r="926" customFormat="false" ht="15.75" hidden="false" customHeight="true" outlineLevel="0" collapsed="false">
      <c r="H926" s="34"/>
    </row>
    <row r="927" customFormat="false" ht="15.75" hidden="false" customHeight="true" outlineLevel="0" collapsed="false">
      <c r="H927" s="34"/>
    </row>
    <row r="928" customFormat="false" ht="15.75" hidden="false" customHeight="true" outlineLevel="0" collapsed="false">
      <c r="H928" s="34"/>
    </row>
    <row r="929" customFormat="false" ht="15.75" hidden="false" customHeight="true" outlineLevel="0" collapsed="false">
      <c r="H929" s="34"/>
    </row>
    <row r="930" customFormat="false" ht="15.75" hidden="false" customHeight="true" outlineLevel="0" collapsed="false">
      <c r="H930" s="34"/>
    </row>
    <row r="931" customFormat="false" ht="15.75" hidden="false" customHeight="true" outlineLevel="0" collapsed="false">
      <c r="H931" s="34"/>
    </row>
    <row r="932" customFormat="false" ht="15.75" hidden="false" customHeight="true" outlineLevel="0" collapsed="false">
      <c r="H932" s="34"/>
    </row>
    <row r="933" customFormat="false" ht="15.75" hidden="false" customHeight="true" outlineLevel="0" collapsed="false">
      <c r="H933" s="34"/>
    </row>
    <row r="934" customFormat="false" ht="15.75" hidden="false" customHeight="true" outlineLevel="0" collapsed="false">
      <c r="H934" s="34"/>
    </row>
    <row r="935" customFormat="false" ht="15.75" hidden="false" customHeight="true" outlineLevel="0" collapsed="false">
      <c r="H935" s="34"/>
    </row>
    <row r="936" customFormat="false" ht="15.75" hidden="false" customHeight="true" outlineLevel="0" collapsed="false">
      <c r="H936" s="34"/>
    </row>
    <row r="937" customFormat="false" ht="15.75" hidden="false" customHeight="true" outlineLevel="0" collapsed="false">
      <c r="H937" s="34"/>
    </row>
    <row r="938" customFormat="false" ht="15.75" hidden="false" customHeight="true" outlineLevel="0" collapsed="false">
      <c r="H938" s="34"/>
    </row>
    <row r="939" customFormat="false" ht="15.75" hidden="false" customHeight="true" outlineLevel="0" collapsed="false">
      <c r="H939" s="34"/>
    </row>
    <row r="940" customFormat="false" ht="15.75" hidden="false" customHeight="true" outlineLevel="0" collapsed="false">
      <c r="H940" s="34"/>
    </row>
    <row r="941" customFormat="false" ht="15.75" hidden="false" customHeight="true" outlineLevel="0" collapsed="false">
      <c r="H941" s="34"/>
    </row>
    <row r="942" customFormat="false" ht="15.75" hidden="false" customHeight="true" outlineLevel="0" collapsed="false">
      <c r="H942" s="34"/>
    </row>
    <row r="943" customFormat="false" ht="15.75" hidden="false" customHeight="true" outlineLevel="0" collapsed="false">
      <c r="H943" s="34"/>
    </row>
    <row r="944" customFormat="false" ht="15.75" hidden="false" customHeight="true" outlineLevel="0" collapsed="false">
      <c r="H944" s="34"/>
    </row>
    <row r="945" customFormat="false" ht="15.75" hidden="false" customHeight="true" outlineLevel="0" collapsed="false">
      <c r="H945" s="34"/>
    </row>
    <row r="946" customFormat="false" ht="15.75" hidden="false" customHeight="true" outlineLevel="0" collapsed="false">
      <c r="H946" s="34"/>
    </row>
    <row r="947" customFormat="false" ht="15.75" hidden="false" customHeight="true" outlineLevel="0" collapsed="false">
      <c r="H947" s="34"/>
    </row>
    <row r="948" customFormat="false" ht="15.75" hidden="false" customHeight="true" outlineLevel="0" collapsed="false">
      <c r="H948" s="34"/>
    </row>
    <row r="949" customFormat="false" ht="15.75" hidden="false" customHeight="true" outlineLevel="0" collapsed="false">
      <c r="H949" s="34"/>
    </row>
    <row r="950" customFormat="false" ht="15.75" hidden="false" customHeight="true" outlineLevel="0" collapsed="false">
      <c r="H950" s="34"/>
    </row>
    <row r="951" customFormat="false" ht="15.75" hidden="false" customHeight="true" outlineLevel="0" collapsed="false">
      <c r="H951" s="34"/>
    </row>
    <row r="952" customFormat="false" ht="15.75" hidden="false" customHeight="true" outlineLevel="0" collapsed="false">
      <c r="H952" s="34"/>
    </row>
    <row r="953" customFormat="false" ht="15.75" hidden="false" customHeight="true" outlineLevel="0" collapsed="false">
      <c r="H953" s="34"/>
    </row>
    <row r="954" customFormat="false" ht="15.75" hidden="false" customHeight="true" outlineLevel="0" collapsed="false">
      <c r="H954" s="34"/>
    </row>
    <row r="955" customFormat="false" ht="15.75" hidden="false" customHeight="true" outlineLevel="0" collapsed="false">
      <c r="H955" s="34"/>
    </row>
    <row r="956" customFormat="false" ht="15.75" hidden="false" customHeight="true" outlineLevel="0" collapsed="false">
      <c r="H956" s="34"/>
    </row>
    <row r="957" customFormat="false" ht="15.75" hidden="false" customHeight="true" outlineLevel="0" collapsed="false">
      <c r="H957" s="34"/>
    </row>
    <row r="958" customFormat="false" ht="15.75" hidden="false" customHeight="true" outlineLevel="0" collapsed="false">
      <c r="H958" s="34"/>
    </row>
    <row r="959" customFormat="false" ht="15.75" hidden="false" customHeight="true" outlineLevel="0" collapsed="false">
      <c r="H959" s="34"/>
    </row>
    <row r="960" customFormat="false" ht="15.75" hidden="false" customHeight="true" outlineLevel="0" collapsed="false">
      <c r="H960" s="34"/>
    </row>
    <row r="961" customFormat="false" ht="15.75" hidden="false" customHeight="true" outlineLevel="0" collapsed="false">
      <c r="H961" s="34"/>
    </row>
    <row r="962" customFormat="false" ht="15.75" hidden="false" customHeight="true" outlineLevel="0" collapsed="false">
      <c r="H962" s="34"/>
    </row>
    <row r="963" customFormat="false" ht="15.75" hidden="false" customHeight="true" outlineLevel="0" collapsed="false">
      <c r="H963" s="34"/>
    </row>
    <row r="964" customFormat="false" ht="15.75" hidden="false" customHeight="true" outlineLevel="0" collapsed="false">
      <c r="H964" s="34"/>
    </row>
    <row r="965" customFormat="false" ht="15.75" hidden="false" customHeight="true" outlineLevel="0" collapsed="false">
      <c r="H965" s="34"/>
    </row>
    <row r="966" customFormat="false" ht="15.75" hidden="false" customHeight="true" outlineLevel="0" collapsed="false">
      <c r="H966" s="34"/>
    </row>
    <row r="967" customFormat="false" ht="15.75" hidden="false" customHeight="true" outlineLevel="0" collapsed="false">
      <c r="H967" s="34"/>
    </row>
    <row r="968" customFormat="false" ht="15.75" hidden="false" customHeight="true" outlineLevel="0" collapsed="false">
      <c r="H968" s="34"/>
    </row>
    <row r="969" customFormat="false" ht="15.75" hidden="false" customHeight="true" outlineLevel="0" collapsed="false">
      <c r="H969" s="34"/>
    </row>
    <row r="970" customFormat="false" ht="15.75" hidden="false" customHeight="true" outlineLevel="0" collapsed="false">
      <c r="H970" s="34"/>
    </row>
    <row r="971" customFormat="false" ht="15.75" hidden="false" customHeight="true" outlineLevel="0" collapsed="false">
      <c r="H971" s="34"/>
    </row>
    <row r="972" customFormat="false" ht="15.75" hidden="false" customHeight="true" outlineLevel="0" collapsed="false">
      <c r="H972" s="34"/>
    </row>
    <row r="973" customFormat="false" ht="15.75" hidden="false" customHeight="true" outlineLevel="0" collapsed="false">
      <c r="H973" s="34"/>
    </row>
    <row r="974" customFormat="false" ht="15.75" hidden="false" customHeight="true" outlineLevel="0" collapsed="false">
      <c r="H974" s="34"/>
    </row>
    <row r="975" customFormat="false" ht="15.75" hidden="false" customHeight="true" outlineLevel="0" collapsed="false">
      <c r="H975" s="34"/>
    </row>
    <row r="976" customFormat="false" ht="15.75" hidden="false" customHeight="true" outlineLevel="0" collapsed="false">
      <c r="H976" s="34"/>
    </row>
    <row r="977" customFormat="false" ht="15.75" hidden="false" customHeight="true" outlineLevel="0" collapsed="false">
      <c r="H977" s="34"/>
    </row>
    <row r="978" customFormat="false" ht="15.75" hidden="false" customHeight="true" outlineLevel="0" collapsed="false">
      <c r="H978" s="34"/>
    </row>
    <row r="979" customFormat="false" ht="15.75" hidden="false" customHeight="true" outlineLevel="0" collapsed="false">
      <c r="H979" s="34"/>
    </row>
    <row r="980" customFormat="false" ht="15.75" hidden="false" customHeight="true" outlineLevel="0" collapsed="false">
      <c r="H980" s="34"/>
    </row>
    <row r="981" customFormat="false" ht="15.75" hidden="false" customHeight="true" outlineLevel="0" collapsed="false">
      <c r="H981" s="34"/>
    </row>
    <row r="982" customFormat="false" ht="15.75" hidden="false" customHeight="true" outlineLevel="0" collapsed="false">
      <c r="H982" s="34"/>
    </row>
    <row r="983" customFormat="false" ht="15.75" hidden="false" customHeight="true" outlineLevel="0" collapsed="false">
      <c r="H983" s="34"/>
    </row>
    <row r="984" customFormat="false" ht="15.75" hidden="false" customHeight="true" outlineLevel="0" collapsed="false">
      <c r="H984" s="34"/>
    </row>
    <row r="985" customFormat="false" ht="15.75" hidden="false" customHeight="true" outlineLevel="0" collapsed="false">
      <c r="H985" s="34"/>
    </row>
    <row r="986" customFormat="false" ht="15.75" hidden="false" customHeight="true" outlineLevel="0" collapsed="false">
      <c r="H986" s="34"/>
    </row>
    <row r="987" customFormat="false" ht="15.75" hidden="false" customHeight="true" outlineLevel="0" collapsed="false">
      <c r="H987" s="34"/>
    </row>
    <row r="988" customFormat="false" ht="15.75" hidden="false" customHeight="true" outlineLevel="0" collapsed="false">
      <c r="H988" s="34"/>
    </row>
    <row r="989" customFormat="false" ht="15.75" hidden="false" customHeight="true" outlineLevel="0" collapsed="false">
      <c r="H989" s="34"/>
    </row>
    <row r="990" customFormat="false" ht="15.75" hidden="false" customHeight="true" outlineLevel="0" collapsed="false">
      <c r="H990" s="34"/>
    </row>
    <row r="991" customFormat="false" ht="15.75" hidden="false" customHeight="true" outlineLevel="0" collapsed="false">
      <c r="H991" s="34"/>
    </row>
    <row r="992" customFormat="false" ht="15.75" hidden="false" customHeight="true" outlineLevel="0" collapsed="false">
      <c r="H992" s="34"/>
    </row>
    <row r="993" customFormat="false" ht="15.75" hidden="false" customHeight="true" outlineLevel="0" collapsed="false">
      <c r="H993" s="34"/>
    </row>
    <row r="994" customFormat="false" ht="15.75" hidden="false" customHeight="true" outlineLevel="0" collapsed="false">
      <c r="H994" s="34"/>
    </row>
    <row r="995" customFormat="false" ht="15.75" hidden="false" customHeight="true" outlineLevel="0" collapsed="false">
      <c r="H995" s="34"/>
    </row>
    <row r="996" customFormat="false" ht="15.75" hidden="false" customHeight="true" outlineLevel="0" collapsed="false">
      <c r="H996" s="34"/>
    </row>
    <row r="997" customFormat="false" ht="15.75" hidden="false" customHeight="true" outlineLevel="0" collapsed="false">
      <c r="H997" s="34"/>
    </row>
    <row r="998" customFormat="false" ht="15.75" hidden="false" customHeight="true" outlineLevel="0" collapsed="false">
      <c r="H998" s="34"/>
    </row>
    <row r="999" customFormat="false" ht="15.75" hidden="false" customHeight="true" outlineLevel="0" collapsed="false">
      <c r="H999" s="34"/>
    </row>
    <row r="1000" customFormat="false" ht="15.75" hidden="false" customHeight="true" outlineLevel="0" collapsed="false">
      <c r="H1000" s="34"/>
    </row>
    <row r="1001" customFormat="false" ht="15.75" hidden="false" customHeight="true" outlineLevel="0" collapsed="false">
      <c r="H1001" s="34"/>
    </row>
    <row r="1002" customFormat="false" ht="15.75" hidden="false" customHeight="true" outlineLevel="0" collapsed="false">
      <c r="H1002" s="34"/>
    </row>
    <row r="1003" customFormat="false" ht="15.75" hidden="false" customHeight="true" outlineLevel="0" collapsed="false">
      <c r="H1003" s="34"/>
    </row>
    <row r="1004" customFormat="false" ht="15.75" hidden="false" customHeight="true" outlineLevel="0" collapsed="false">
      <c r="H1004" s="34"/>
    </row>
  </sheetData>
  <mergeCells count="7">
    <mergeCell ref="B1:C1"/>
    <mergeCell ref="B2:C2"/>
    <mergeCell ref="B16:C16"/>
    <mergeCell ref="B28:C28"/>
    <mergeCell ref="B42:C42"/>
    <mergeCell ref="B55:C55"/>
    <mergeCell ref="B81:C81"/>
  </mergeCells>
  <conditionalFormatting sqref="J92">
    <cfRule type="cellIs" priority="2" operator="notEqual" aboveAverage="0" equalAverage="0" bottom="0" percent="0" rank="0" text="" dxfId="0">
      <formula>1</formula>
    </cfRule>
  </conditionalFormatting>
  <conditionalFormatting sqref="J92">
    <cfRule type="cellIs" priority="3" operator="equal" aboveAverage="0" equalAverage="0" bottom="0" percent="0" rank="0" text="" dxfId="1">
      <formula>1</formula>
    </cfRule>
  </conditionalFormatting>
  <printOptions headings="false" gridLines="false" gridLinesSet="true" horizontalCentered="false" verticalCentered="false"/>
  <pageMargins left="0.708333333333333" right="0.708333333333333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2024-08-17T11:56:29Z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